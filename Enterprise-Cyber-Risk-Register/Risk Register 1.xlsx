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46a8bfe879292f/Documents/InfluentialPMO/Movie Projects/Risk Register/MATERIALS/"/>
    </mc:Choice>
  </mc:AlternateContent>
  <xr:revisionPtr revIDLastSave="0" documentId="8_{BBB7D635-D23D-4161-B72F-C2FF0E29614E}" xr6:coauthVersionLast="47" xr6:coauthVersionMax="47" xr10:uidLastSave="{00000000-0000-0000-0000-000000000000}"/>
  <bookViews>
    <workbookView xWindow="28680" yWindow="-120" windowWidth="29040" windowHeight="15840" xr2:uid="{46B755C2-27C7-467E-AEA7-969705F2DA14}"/>
  </bookViews>
  <sheets>
    <sheet name="Risk Register" sheetId="2" r:id="rId1"/>
    <sheet name="Lookup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I13" i="2"/>
  <c r="I27" i="2"/>
  <c r="L27" i="2"/>
  <c r="O27" i="2"/>
  <c r="I28" i="2"/>
  <c r="L28" i="2"/>
  <c r="O28" i="2"/>
  <c r="I29" i="2"/>
  <c r="L29" i="2"/>
  <c r="O29" i="2"/>
  <c r="I30" i="2"/>
  <c r="L30" i="2"/>
  <c r="O30" i="2"/>
  <c r="I31" i="2"/>
  <c r="L31" i="2"/>
  <c r="O31" i="2"/>
  <c r="I32" i="2"/>
  <c r="O32" i="2"/>
  <c r="I33" i="2"/>
  <c r="L33" i="2"/>
  <c r="O33" i="2"/>
  <c r="I34" i="2"/>
  <c r="L34" i="2"/>
  <c r="O34" i="2"/>
  <c r="I35" i="2"/>
  <c r="L35" i="2"/>
  <c r="O35" i="2"/>
  <c r="I36" i="2"/>
  <c r="L36" i="2"/>
  <c r="O36" i="2"/>
  <c r="I37" i="2"/>
  <c r="L37" i="2"/>
  <c r="O37" i="2"/>
  <c r="I38" i="2"/>
  <c r="L38" i="2"/>
  <c r="O38" i="2"/>
  <c r="I39" i="2"/>
  <c r="L39" i="2"/>
  <c r="O39" i="2"/>
  <c r="I40" i="2"/>
  <c r="L40" i="2"/>
  <c r="O40" i="2"/>
  <c r="I41" i="2"/>
  <c r="O41" i="2"/>
  <c r="I42" i="2"/>
  <c r="L42" i="2"/>
  <c r="O42" i="2"/>
  <c r="I43" i="2"/>
  <c r="L43" i="2"/>
  <c r="O43" i="2"/>
  <c r="I44" i="2"/>
  <c r="L44" i="2"/>
  <c r="O44" i="2"/>
  <c r="I45" i="2"/>
  <c r="L45" i="2"/>
  <c r="O45" i="2"/>
  <c r="I46" i="2"/>
  <c r="L46" i="2"/>
  <c r="O46" i="2"/>
  <c r="I14" i="2"/>
  <c r="O14" i="2"/>
  <c r="I15" i="2"/>
  <c r="L15" i="2"/>
  <c r="O15" i="2"/>
  <c r="I16" i="2"/>
  <c r="L16" i="2"/>
  <c r="O16" i="2"/>
  <c r="I17" i="2"/>
  <c r="L17" i="2"/>
  <c r="O17" i="2"/>
  <c r="I18" i="2"/>
  <c r="L18" i="2"/>
  <c r="O18" i="2"/>
  <c r="I19" i="2"/>
  <c r="L19" i="2"/>
  <c r="O19" i="2"/>
  <c r="I20" i="2"/>
  <c r="L20" i="2"/>
  <c r="O20" i="2"/>
  <c r="I21" i="2"/>
  <c r="L21" i="2"/>
  <c r="O21" i="2"/>
  <c r="I22" i="2"/>
  <c r="L22" i="2"/>
  <c r="O22" i="2"/>
  <c r="I23" i="2"/>
  <c r="L23" i="2"/>
  <c r="O23" i="2"/>
  <c r="I24" i="2"/>
  <c r="O24" i="2"/>
  <c r="I25" i="2"/>
  <c r="L25" i="2"/>
  <c r="O25" i="2"/>
  <c r="I26" i="2"/>
  <c r="L26" i="2"/>
  <c r="O26" i="2"/>
  <c r="O13" i="2"/>
  <c r="L13" i="2"/>
</calcChain>
</file>

<file path=xl/sharedStrings.xml><?xml version="1.0" encoding="utf-8"?>
<sst xmlns="http://schemas.openxmlformats.org/spreadsheetml/2006/main" count="516" uniqueCount="214">
  <si>
    <t>Project Name</t>
  </si>
  <si>
    <t>Enterprise Cyber Risk Register</t>
  </si>
  <si>
    <t>Risk Impact</t>
  </si>
  <si>
    <t>Risk Likelihood</t>
  </si>
  <si>
    <t>Risk Response</t>
  </si>
  <si>
    <t>Project Manager</t>
  </si>
  <si>
    <t>Simer Preet Kaur</t>
  </si>
  <si>
    <t>Very Minor</t>
  </si>
  <si>
    <t>1 - 20%</t>
  </si>
  <si>
    <t>Avoid</t>
  </si>
  <si>
    <t>Date Updated</t>
  </si>
  <si>
    <t>Minor</t>
  </si>
  <si>
    <t>21 - 40%</t>
  </si>
  <si>
    <t>Reduce</t>
  </si>
  <si>
    <t>Moderate</t>
  </si>
  <si>
    <t>41 - 60%</t>
  </si>
  <si>
    <t>Fallback</t>
  </si>
  <si>
    <t>Significant</t>
  </si>
  <si>
    <t>61 - 80%</t>
  </si>
  <si>
    <t>Transfer</t>
  </si>
  <si>
    <t>Catastrophic</t>
  </si>
  <si>
    <t>81 - 99%</t>
  </si>
  <si>
    <t>Share</t>
  </si>
  <si>
    <t>Accept</t>
  </si>
  <si>
    <t>Pre Mitigation Scores</t>
  </si>
  <si>
    <t>Current Scores</t>
  </si>
  <si>
    <t>Post Mitigation Scores</t>
  </si>
  <si>
    <t>Risk ID</t>
  </si>
  <si>
    <t>Risk Name</t>
  </si>
  <si>
    <t>Risk Description</t>
  </si>
  <si>
    <t>Date Captured</t>
  </si>
  <si>
    <t>Risk Owner</t>
  </si>
  <si>
    <t>Pre-Mitigation Impact</t>
  </si>
  <si>
    <t>Pre-Mitigation Likelihood</t>
  </si>
  <si>
    <t>Pre-Mitigation Score</t>
  </si>
  <si>
    <t>Current Impact</t>
  </si>
  <si>
    <t>Current Likelihood</t>
  </si>
  <si>
    <t>Current Score</t>
  </si>
  <si>
    <t>Post-Mitigation Impact</t>
  </si>
  <si>
    <t>Post-Mitigation Likelihood</t>
  </si>
  <si>
    <t>Post-Mitigation Score</t>
  </si>
  <si>
    <t>Mitigation Plan / Actions</t>
  </si>
  <si>
    <t>Progress</t>
  </si>
  <si>
    <t>Risk Proximity</t>
  </si>
  <si>
    <t>Workstream</t>
  </si>
  <si>
    <t>Operational or Project Risk</t>
  </si>
  <si>
    <t>Escalation Level</t>
  </si>
  <si>
    <t>Last Review Date</t>
  </si>
  <si>
    <t>Next Review Date</t>
  </si>
  <si>
    <t>Target Completion Date</t>
  </si>
  <si>
    <t>Historical Progress</t>
  </si>
  <si>
    <t>Notes</t>
  </si>
  <si>
    <t>R-001</t>
  </si>
  <si>
    <t>Weak Password Practices</t>
  </si>
  <si>
    <t>Users may create weak passwords leading to unauthorized acces</t>
  </si>
  <si>
    <t>IAM Manager</t>
  </si>
  <si>
    <t>Implement MFA, enforce password complexity requirements, and conduct quarterly access reviews</t>
  </si>
  <si>
    <t>In Progress</t>
  </si>
  <si>
    <t>30 Days</t>
  </si>
  <si>
    <t>Identity &amp; Access Management</t>
  </si>
  <si>
    <t>Operational</t>
  </si>
  <si>
    <t>High</t>
  </si>
  <si>
    <t>Risk identified and remediation initiated.</t>
  </si>
  <si>
    <t>Annual review required.</t>
  </si>
  <si>
    <t>R-002</t>
  </si>
  <si>
    <t>Excessive User Privileges</t>
  </si>
  <si>
    <t>Users retain unnecessary access rights beyond business requirements</t>
  </si>
  <si>
    <t>Apply least privilege principles and perform periodic user access recertification</t>
  </si>
  <si>
    <t>R-003</t>
  </si>
  <si>
    <t>Dormant User Accounts</t>
  </si>
  <si>
    <t>Former employees retain active accounts after termination.</t>
  </si>
  <si>
    <t>Automate account deprovisioning and review inactive accounts monthly</t>
  </si>
  <si>
    <t>Medium</t>
  </si>
  <si>
    <t>R-004</t>
  </si>
  <si>
    <t>Missing Multi-Factor Authentication</t>
  </si>
  <si>
    <t>Accounts can be compromised due to lack of MFA</t>
  </si>
  <si>
    <t>Enforce MFA for all users and privileged accounts</t>
  </si>
  <si>
    <t>Critical</t>
  </si>
  <si>
    <t>R-005</t>
  </si>
  <si>
    <t>Privileged Account Misuse</t>
  </si>
  <si>
    <t>Administrative accounts may be abused</t>
  </si>
  <si>
    <t>Implement privileged access management and monitor administrator activities</t>
  </si>
  <si>
    <t>R-006</t>
  </si>
  <si>
    <t>Unpatched Servers</t>
  </si>
  <si>
    <t>Critical patches are not applied on time</t>
  </si>
  <si>
    <t>Infrastructure Manager</t>
  </si>
  <si>
    <t>Establish monthly patch management and vulnerability remediation processes</t>
  </si>
  <si>
    <t>Vulnerability Management</t>
  </si>
  <si>
    <t>R-007</t>
  </si>
  <si>
    <t>Unsupported Operating Systems</t>
  </si>
  <si>
    <t>Legacy systems no longer receive security updates</t>
  </si>
  <si>
    <t>Upgrade unsupported systems and remove obsolete assets</t>
  </si>
  <si>
    <t>R-008</t>
  </si>
  <si>
    <t>Delayed Security Updates</t>
  </si>
  <si>
    <t>Delays increase exposure to threats</t>
  </si>
  <si>
    <t>Implement patching SLAs and track compliance through reporting</t>
  </si>
  <si>
    <t>R-009</t>
  </si>
  <si>
    <t>Unresolved Critical Vulnerabilities</t>
  </si>
  <si>
    <t>High-risk findings remain open</t>
  </si>
  <si>
    <t>Vulnerability Manager</t>
  </si>
  <si>
    <t>Prioritize remediation of critical findings within defined timelines</t>
  </si>
  <si>
    <t>R-010</t>
  </si>
  <si>
    <t>Missing Vulnerability Scans</t>
  </si>
  <si>
    <t>Security weaknesses remain unidentified</t>
  </si>
  <si>
    <t>Vendor Risk Manager</t>
  </si>
  <si>
    <t>Schedule automated weekly vulnerability scans</t>
  </si>
  <si>
    <t>R-011</t>
  </si>
  <si>
    <t>Third-Party Data Breach</t>
  </si>
  <si>
    <t>Vendor compromise exposes company information</t>
  </si>
  <si>
    <t>Require security assessments, contractual controls and cyber insurance</t>
  </si>
  <si>
    <t>Third-Party Risk Management</t>
  </si>
  <si>
    <t>R-012</t>
  </si>
  <si>
    <t>Vendor Lacks Security Certification</t>
  </si>
  <si>
    <t>Vendor security program is immature</t>
  </si>
  <si>
    <t>Require ISO 27001 certification or equivalent controls</t>
  </si>
  <si>
    <t>R-013</t>
  </si>
  <si>
    <t>Inadequate Vendor Assessments</t>
  </si>
  <si>
    <t>Third-party risks are not properly reviewe</t>
  </si>
  <si>
    <t>Perform annual vendor risk assessments and control reviews</t>
  </si>
  <si>
    <t>R-014</t>
  </si>
  <si>
    <t>Vendor Business Failure</t>
  </si>
  <si>
    <t>Vendor becomes unavailable or insolvent</t>
  </si>
  <si>
    <t>Maintain alternate suppliers and business continuity plans</t>
  </si>
  <si>
    <t>R-015</t>
  </si>
  <si>
    <t>Vendor Access Misuse</t>
  </si>
  <si>
    <t>Vendor employees misuse privileged access</t>
  </si>
  <si>
    <t>Restrict vendor access and monitor third-party activities</t>
  </si>
  <si>
    <t>R-016</t>
  </si>
  <si>
    <t>Misconfigured Cloud Storage</t>
  </si>
  <si>
    <t>Sensitive data becomes publicly accessible</t>
  </si>
  <si>
    <t>Cloud Security Lead</t>
  </si>
  <si>
    <t>Implement secure configuration baselines and CSPM monitoring</t>
  </si>
  <si>
    <t>Cloud Security</t>
  </si>
  <si>
    <t>R-017</t>
  </si>
  <si>
    <t>Publicly Accessible Resources</t>
  </si>
  <si>
    <t>Cloud assets exposed to the internet</t>
  </si>
  <si>
    <t>Conduct periodic reviews of cloud exposure settings</t>
  </si>
  <si>
    <t>R-018</t>
  </si>
  <si>
    <t>Insufficient Cloud Monitoring</t>
  </si>
  <si>
    <t>Security incidents may go undetected</t>
  </si>
  <si>
    <t>Enable centralized logging and real-time monitoring</t>
  </si>
  <si>
    <t>R-019</t>
  </si>
  <si>
    <t>Insecure Cloud Configuration</t>
  </si>
  <si>
    <t>Security settings do not meet standards</t>
  </si>
  <si>
    <t>Enforce cloud security standards and automated compliance checks</t>
  </si>
  <si>
    <t>R-020</t>
  </si>
  <si>
    <t>Weak Cloud Access Controls</t>
  </si>
  <si>
    <t>Excessive permissions increase risk</t>
  </si>
  <si>
    <t>Implement role-based access controls and periodic reviews</t>
  </si>
  <si>
    <t>R-021</t>
  </si>
  <si>
    <t>ISO 27001 Non-Compliance</t>
  </si>
  <si>
    <t>Controls do not meet framework requirements</t>
  </si>
  <si>
    <t>Compliance Manager</t>
  </si>
  <si>
    <t>Perform annual internal audits and compliance reviews</t>
  </si>
  <si>
    <t>Compliance &amp; Audit</t>
  </si>
  <si>
    <t>R-022</t>
  </si>
  <si>
    <t>Missing Audit Evidence</t>
  </si>
  <si>
    <t>Audit requirements cannot be demonstrated</t>
  </si>
  <si>
    <t>Establish centralized audit evidence repositories</t>
  </si>
  <si>
    <t>R-023</t>
  </si>
  <si>
    <t>Incomplete Risk Assessments</t>
  </si>
  <si>
    <t>Risks are not fully identified or evaluated</t>
  </si>
  <si>
    <t>GRC Analyst</t>
  </si>
  <si>
    <t>Conduct quarterly risk assessments and management reviews</t>
  </si>
  <si>
    <t>R-024</t>
  </si>
  <si>
    <t>Policy Review Overdue</t>
  </si>
  <si>
    <t>Policies become outdated and ineffective</t>
  </si>
  <si>
    <t>Create annual policy review and approval schedules</t>
  </si>
  <si>
    <t>R-025</t>
  </si>
  <si>
    <t>Regulatory Compliance Failure</t>
  </si>
  <si>
    <t>Non-compliance may result in penalties</t>
  </si>
  <si>
    <t>Track regulatory obligations and implement compliance monitoring</t>
  </si>
  <si>
    <t>R-026</t>
  </si>
  <si>
    <t>Delayed Incident Reporting</t>
  </si>
  <si>
    <t>Security incidents are not escalated quickly</t>
  </si>
  <si>
    <t>SOC Manager</t>
  </si>
  <si>
    <t>Define escalation procedures and incident notification requirements</t>
  </si>
  <si>
    <t>Incident Response</t>
  </si>
  <si>
    <t>R-027</t>
  </si>
  <si>
    <t>Ineffective Incident Response Process</t>
  </si>
  <si>
    <t>Incident containment is delayed</t>
  </si>
  <si>
    <t>Update incident response plans and conduct testing</t>
  </si>
  <si>
    <t>R-028</t>
  </si>
  <si>
    <t>Lack of Tabletop Exercises</t>
  </si>
  <si>
    <t>Teams are unprepared for cyber events</t>
  </si>
  <si>
    <t>Conduct annual tabletop exercises involving key stakeholders</t>
  </si>
  <si>
    <t>R-029</t>
  </si>
  <si>
    <t>Inadequate Security Monitoring</t>
  </si>
  <si>
    <t>Threats remain undetected</t>
  </si>
  <si>
    <t>Implement SIEM monitoring and alerting capabilities</t>
  </si>
  <si>
    <t>R-030</t>
  </si>
  <si>
    <t>Missing Incident Documentation</t>
  </si>
  <si>
    <t>Investigation records are incomplete</t>
  </si>
  <si>
    <t>Standardize incident reporting templates and evidence collection</t>
  </si>
  <si>
    <t>R-031</t>
  </si>
  <si>
    <t>Backup Failure</t>
  </si>
  <si>
    <t>Critical backup jobs fail</t>
  </si>
  <si>
    <t>BCDR Manager</t>
  </si>
  <si>
    <t>Test backups monthly and monitor backup success rates</t>
  </si>
  <si>
    <t>Business Continuity &amp; Disaster Recovery</t>
  </si>
  <si>
    <t>R-032</t>
  </si>
  <si>
    <t>Disaster Recovery Plan Not Tested</t>
  </si>
  <si>
    <t>Recovery capabilities are unverified</t>
  </si>
  <si>
    <t>Conduct annual disaster recovery exercises</t>
  </si>
  <si>
    <t>R-033</t>
  </si>
  <si>
    <t>Data Center Outage</t>
  </si>
  <si>
    <t>Facility disruption causes downtime</t>
  </si>
  <si>
    <t>Implement redundant infrastructure and failover capabilities</t>
  </si>
  <si>
    <t>R-034</t>
  </si>
  <si>
    <t>Single Point of Failure</t>
  </si>
  <si>
    <t>No redundancy exists for critical systems</t>
  </si>
  <si>
    <t>Build redundancy for critical systems and services</t>
  </si>
  <si>
    <t>Impact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</si>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</sst>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Segoe UI"/>
      <charset val="1"/>
    </font>
    <font>
      <sz val="11"/>
      <color rgb="FF000000"/>
      <name val="Segoe UI"/>
    </font>
    <font>
      <sz val="11"/>
      <color rgb="FF000000"/>
      <name val="Segoe UI"/>
      <charset val="1"/>
    </font>
    <font>
      <sz val="8"/>
      <color rgb="FF000000"/>
      <name val="Arial"/>
      <charset val="1"/>
    </font>
    <font>
      <sz val="13.5"/>
      <color theme="1"/>
      <name val="Segoe UI"/>
      <charset val="1"/>
    </font>
    <font>
      <sz val="13.5"/>
      <color rgb="FF000000"/>
      <name val="Segoe UI"/>
    </font>
    <font>
      <b/>
      <sz val="11"/>
      <color rgb="FF000000"/>
      <name val="Segoe UI"/>
    </font>
    <font>
      <sz val="14"/>
      <color rgb="FF000000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15" fontId="5" fillId="0" borderId="0" xfId="0" applyNumberFormat="1" applyFont="1"/>
    <xf numFmtId="0" fontId="6" fillId="0" borderId="0" xfId="0" applyFont="1"/>
    <xf numFmtId="0" fontId="7" fillId="0" borderId="0" xfId="0" applyFont="1"/>
    <xf numFmtId="15" fontId="3" fillId="0" borderId="1" xfId="0" applyNumberFormat="1" applyFont="1" applyBorder="1"/>
    <xf numFmtId="15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12" fillId="0" borderId="0" xfId="0" applyFont="1"/>
    <xf numFmtId="15" fontId="0" fillId="0" borderId="0" xfId="0" applyNumberFormat="1"/>
  </cellXfs>
  <cellStyles count="1">
    <cellStyle name="Normal" xfId="0" builtinId="0"/>
  </cellStyles>
  <dxfs count="9"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371476</xdr:colOff>
      <xdr:row>1</xdr:row>
      <xdr:rowOff>1</xdr:rowOff>
    </xdr:from>
    <xdr:to>
      <xdr:col>3</xdr:col>
      <xdr:colOff>3133726</xdr:colOff>
      <xdr:row>6</xdr:row>
      <xdr:rowOff>109905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15AD78-E6C7-4F67-BB76-9654DF05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6" y="161926"/>
          <a:ext cx="2762250" cy="1062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0DE4-29C5-4544-8385-BFA555B80D51}">
  <dimension ref="B2:AA55"/>
  <sheetViews>
    <sheetView tabSelected="1" topLeftCell="R10" zoomScale="80" zoomScaleNormal="80" workbookViewId="0">
      <selection activeCell="Y15" sqref="Y15"/>
    </sheetView>
  </sheetViews>
  <sheetFormatPr defaultRowHeight="12.75"/>
  <cols>
    <col min="1" max="1" width="3.59765625" style="3" customWidth="1"/>
    <col min="2" max="2" width="11.8984375" style="3" customWidth="1"/>
    <col min="3" max="3" width="25.09765625" style="3" customWidth="1"/>
    <col min="4" max="4" width="46.296875" style="3" customWidth="1"/>
    <col min="5" max="5" width="14.5" style="3" bestFit="1" customWidth="1"/>
    <col min="6" max="6" width="15.69921875" style="3" customWidth="1"/>
    <col min="7" max="7" width="13.3984375" style="3" customWidth="1"/>
    <col min="8" max="8" width="13" style="3" customWidth="1"/>
    <col min="9" max="9" width="12.8984375" style="3" customWidth="1"/>
    <col min="10" max="10" width="8.796875" style="3"/>
    <col min="11" max="11" width="10.8984375" style="3" customWidth="1"/>
    <col min="12" max="12" width="8.796875" style="3"/>
    <col min="13" max="13" width="11.19921875" style="3" customWidth="1"/>
    <col min="14" max="14" width="12.09765625" style="3" customWidth="1"/>
    <col min="15" max="15" width="11.5" style="3" customWidth="1"/>
    <col min="16" max="16" width="10.59765625" style="3" customWidth="1"/>
    <col min="17" max="17" width="67" style="3" customWidth="1"/>
    <col min="18" max="18" width="38.69921875" style="3" customWidth="1"/>
    <col min="19" max="19" width="8.796875" style="3"/>
    <col min="20" max="20" width="21.796875" style="3" customWidth="1"/>
    <col min="21" max="21" width="12.69921875" style="3" customWidth="1"/>
    <col min="22" max="22" width="8.796875" style="3"/>
    <col min="23" max="23" width="10.19921875" style="3" customWidth="1"/>
    <col min="24" max="24" width="10.5" style="3" customWidth="1"/>
    <col min="25" max="25" width="12.5" style="3" customWidth="1"/>
    <col min="26" max="26" width="27.8984375" style="3" customWidth="1"/>
    <col min="27" max="27" width="24" style="3" customWidth="1"/>
    <col min="28" max="16384" width="8.796875" style="3"/>
  </cols>
  <sheetData>
    <row r="2" spans="2:27" ht="16.5">
      <c r="B2" s="1" t="s">
        <v>0</v>
      </c>
      <c r="C2" s="14" t="s">
        <v>1</v>
      </c>
      <c r="E2" s="24" t="s">
        <v>2</v>
      </c>
      <c r="F2" s="25"/>
      <c r="H2" s="24" t="s">
        <v>3</v>
      </c>
      <c r="I2" s="25"/>
      <c r="K2" s="9" t="s">
        <v>4</v>
      </c>
    </row>
    <row r="3" spans="2:27" ht="16.5">
      <c r="B3" s="1" t="s">
        <v>5</v>
      </c>
      <c r="C3" s="14" t="s">
        <v>6</v>
      </c>
      <c r="E3" s="8">
        <v>1</v>
      </c>
      <c r="F3" s="2" t="s">
        <v>7</v>
      </c>
      <c r="H3" s="8">
        <v>1</v>
      </c>
      <c r="I3" s="2" t="s">
        <v>8</v>
      </c>
      <c r="K3" s="2" t="s">
        <v>9</v>
      </c>
    </row>
    <row r="4" spans="2:27" ht="16.5">
      <c r="B4" s="1" t="s">
        <v>10</v>
      </c>
      <c r="C4" s="15">
        <v>46177</v>
      </c>
      <c r="E4" s="8">
        <v>2</v>
      </c>
      <c r="F4" s="2" t="s">
        <v>11</v>
      </c>
      <c r="H4" s="8">
        <v>2</v>
      </c>
      <c r="I4" s="2" t="s">
        <v>12</v>
      </c>
      <c r="K4" s="2" t="s">
        <v>13</v>
      </c>
    </row>
    <row r="5" spans="2:27">
      <c r="E5" s="8">
        <v>3</v>
      </c>
      <c r="F5" s="2" t="s">
        <v>14</v>
      </c>
      <c r="H5" s="8">
        <v>3</v>
      </c>
      <c r="I5" s="2" t="s">
        <v>15</v>
      </c>
      <c r="K5" s="2" t="s">
        <v>16</v>
      </c>
    </row>
    <row r="6" spans="2:27">
      <c r="E6" s="8">
        <v>4</v>
      </c>
      <c r="F6" s="2" t="s">
        <v>17</v>
      </c>
      <c r="H6" s="8">
        <v>4</v>
      </c>
      <c r="I6" s="2" t="s">
        <v>18</v>
      </c>
      <c r="K6" s="2" t="s">
        <v>19</v>
      </c>
    </row>
    <row r="7" spans="2:27">
      <c r="E7" s="8">
        <v>5</v>
      </c>
      <c r="F7" s="2" t="s">
        <v>20</v>
      </c>
      <c r="H7" s="8">
        <v>5</v>
      </c>
      <c r="I7" s="2" t="s">
        <v>21</v>
      </c>
      <c r="K7" s="2" t="s">
        <v>22</v>
      </c>
    </row>
    <row r="8" spans="2:27">
      <c r="K8" s="2" t="s">
        <v>23</v>
      </c>
    </row>
    <row r="11" spans="2:27" s="5" customFormat="1" ht="19.5" customHeight="1">
      <c r="G11" s="23" t="s">
        <v>24</v>
      </c>
      <c r="H11" s="23"/>
      <c r="I11" s="23"/>
      <c r="J11" s="23" t="s">
        <v>25</v>
      </c>
      <c r="K11" s="23"/>
      <c r="L11" s="23"/>
      <c r="M11" s="23" t="s">
        <v>26</v>
      </c>
      <c r="N11" s="23"/>
      <c r="O11" s="23"/>
    </row>
    <row r="12" spans="2:27" s="7" customFormat="1" ht="24">
      <c r="B12" s="6" t="s">
        <v>27</v>
      </c>
      <c r="C12" s="6" t="s">
        <v>28</v>
      </c>
      <c r="D12" s="6" t="s">
        <v>29</v>
      </c>
      <c r="E12" s="6" t="s">
        <v>30</v>
      </c>
      <c r="F12" s="6" t="s">
        <v>31</v>
      </c>
      <c r="G12" s="6" t="s">
        <v>32</v>
      </c>
      <c r="H12" s="6" t="s">
        <v>33</v>
      </c>
      <c r="I12" s="6" t="s">
        <v>34</v>
      </c>
      <c r="J12" s="6" t="s">
        <v>35</v>
      </c>
      <c r="K12" s="6" t="s">
        <v>36</v>
      </c>
      <c r="L12" s="6" t="s">
        <v>37</v>
      </c>
      <c r="M12" s="6" t="s">
        <v>38</v>
      </c>
      <c r="N12" s="6" t="s">
        <v>39</v>
      </c>
      <c r="O12" s="6" t="s">
        <v>40</v>
      </c>
      <c r="P12" s="6" t="s">
        <v>4</v>
      </c>
      <c r="Q12" s="6" t="s">
        <v>41</v>
      </c>
      <c r="R12" s="6" t="s">
        <v>42</v>
      </c>
      <c r="S12" s="6" t="s">
        <v>43</v>
      </c>
      <c r="T12" s="6" t="s">
        <v>44</v>
      </c>
      <c r="U12" s="6" t="s">
        <v>45</v>
      </c>
      <c r="V12" s="6" t="s">
        <v>46</v>
      </c>
      <c r="W12" s="6" t="s">
        <v>47</v>
      </c>
      <c r="X12" s="6" t="s">
        <v>48</v>
      </c>
      <c r="Y12" s="6" t="s">
        <v>49</v>
      </c>
      <c r="Z12" s="6" t="s">
        <v>50</v>
      </c>
      <c r="AA12" s="6" t="s">
        <v>51</v>
      </c>
    </row>
    <row r="13" spans="2:27" ht="18.75">
      <c r="B13" s="4" t="s">
        <v>52</v>
      </c>
      <c r="C13" s="14" t="s">
        <v>53</v>
      </c>
      <c r="D13" s="14" t="s">
        <v>54</v>
      </c>
      <c r="E13" s="15">
        <v>46190</v>
      </c>
      <c r="F13" s="14" t="s">
        <v>55</v>
      </c>
      <c r="G13" s="4">
        <v>4</v>
      </c>
      <c r="H13" s="4">
        <v>4</v>
      </c>
      <c r="I13" s="4">
        <f t="shared" ref="I13" si="0">G13*H13</f>
        <v>16</v>
      </c>
      <c r="J13" s="4">
        <v>3</v>
      </c>
      <c r="K13" s="4">
        <v>2</v>
      </c>
      <c r="L13" s="4">
        <f>J13*K13</f>
        <v>6</v>
      </c>
      <c r="M13" s="4">
        <v>2</v>
      </c>
      <c r="N13" s="4">
        <v>1</v>
      </c>
      <c r="O13" s="4">
        <f>M13*N13</f>
        <v>2</v>
      </c>
      <c r="P13" s="14" t="s">
        <v>13</v>
      </c>
      <c r="Q13" s="14" t="s">
        <v>56</v>
      </c>
      <c r="R13" s="14" t="s">
        <v>57</v>
      </c>
      <c r="S13" s="14" t="s">
        <v>58</v>
      </c>
      <c r="T13" s="14" t="s">
        <v>59</v>
      </c>
      <c r="U13" s="14" t="s">
        <v>60</v>
      </c>
      <c r="V13" s="14" t="s">
        <v>61</v>
      </c>
      <c r="W13" s="18">
        <v>46190</v>
      </c>
      <c r="X13" s="29">
        <v>46325</v>
      </c>
      <c r="Y13" s="15">
        <v>46354</v>
      </c>
      <c r="Z13" s="14" t="s">
        <v>62</v>
      </c>
      <c r="AA13" s="14" t="s">
        <v>63</v>
      </c>
    </row>
    <row r="14" spans="2:27" ht="18.75">
      <c r="B14" s="4" t="s">
        <v>64</v>
      </c>
      <c r="C14" s="14" t="s">
        <v>65</v>
      </c>
      <c r="D14" s="14" t="s">
        <v>66</v>
      </c>
      <c r="E14" s="15">
        <v>46191</v>
      </c>
      <c r="F14" s="17" t="s">
        <v>55</v>
      </c>
      <c r="G14" s="4">
        <v>5</v>
      </c>
      <c r="H14" s="4">
        <v>3</v>
      </c>
      <c r="I14" s="4">
        <f t="shared" ref="I14:I26" si="1">G14*H14</f>
        <v>15</v>
      </c>
      <c r="J14" s="4">
        <v>3</v>
      </c>
      <c r="K14" s="4">
        <v>2</v>
      </c>
      <c r="L14" s="4">
        <f t="shared" ref="L14:L26" si="2">J14*K14</f>
        <v>6</v>
      </c>
      <c r="M14" s="4">
        <v>2</v>
      </c>
      <c r="N14" s="4">
        <v>1</v>
      </c>
      <c r="O14" s="4">
        <f t="shared" ref="O14:O26" si="3">M14*N14</f>
        <v>2</v>
      </c>
      <c r="P14" s="14" t="s">
        <v>13</v>
      </c>
      <c r="Q14" s="14" t="s">
        <v>67</v>
      </c>
      <c r="R14" s="14" t="s">
        <v>57</v>
      </c>
      <c r="S14" s="17" t="s">
        <v>58</v>
      </c>
      <c r="T14" s="14" t="s">
        <v>59</v>
      </c>
      <c r="U14" s="14" t="s">
        <v>60</v>
      </c>
      <c r="V14" s="14" t="s">
        <v>61</v>
      </c>
      <c r="W14" s="19">
        <v>46191</v>
      </c>
      <c r="X14" s="29">
        <v>46325</v>
      </c>
      <c r="Y14" s="15">
        <v>46355</v>
      </c>
      <c r="Z14" s="14" t="s">
        <v>62</v>
      </c>
      <c r="AA14" s="14" t="s">
        <v>63</v>
      </c>
    </row>
    <row r="15" spans="2:27" ht="21">
      <c r="B15" s="4" t="s">
        <v>68</v>
      </c>
      <c r="C15" s="14" t="s">
        <v>69</v>
      </c>
      <c r="D15" s="14" t="s">
        <v>70</v>
      </c>
      <c r="E15" s="15">
        <v>46192</v>
      </c>
      <c r="F15" s="17" t="s">
        <v>55</v>
      </c>
      <c r="G15" s="4">
        <v>4</v>
      </c>
      <c r="H15" s="4">
        <v>3</v>
      </c>
      <c r="I15" s="4">
        <f t="shared" si="1"/>
        <v>12</v>
      </c>
      <c r="J15" s="4">
        <v>2</v>
      </c>
      <c r="K15" s="4">
        <v>2</v>
      </c>
      <c r="L15" s="4">
        <f t="shared" si="2"/>
        <v>4</v>
      </c>
      <c r="M15" s="4">
        <v>1</v>
      </c>
      <c r="N15" s="4">
        <v>1</v>
      </c>
      <c r="O15" s="4">
        <f t="shared" si="3"/>
        <v>1</v>
      </c>
      <c r="P15" s="14" t="s">
        <v>13</v>
      </c>
      <c r="Q15" s="17" t="s">
        <v>71</v>
      </c>
      <c r="R15" s="14" t="s">
        <v>57</v>
      </c>
      <c r="S15" s="17" t="s">
        <v>58</v>
      </c>
      <c r="T15" s="14" t="s">
        <v>59</v>
      </c>
      <c r="U15" s="14" t="s">
        <v>60</v>
      </c>
      <c r="V15" s="20" t="s">
        <v>72</v>
      </c>
      <c r="W15" s="19">
        <v>46192</v>
      </c>
      <c r="X15" s="29">
        <v>46356</v>
      </c>
      <c r="Y15" s="15">
        <v>46357</v>
      </c>
      <c r="Z15" s="14" t="s">
        <v>62</v>
      </c>
      <c r="AA15" s="14" t="s">
        <v>63</v>
      </c>
    </row>
    <row r="16" spans="2:27" ht="18.75">
      <c r="B16" s="4" t="s">
        <v>73</v>
      </c>
      <c r="C16" s="14" t="s">
        <v>74</v>
      </c>
      <c r="D16" s="14" t="s">
        <v>75</v>
      </c>
      <c r="E16" s="15">
        <v>46193</v>
      </c>
      <c r="F16" s="17" t="s">
        <v>55</v>
      </c>
      <c r="G16" s="4">
        <v>5</v>
      </c>
      <c r="H16" s="4">
        <v>4</v>
      </c>
      <c r="I16" s="4">
        <f t="shared" si="1"/>
        <v>20</v>
      </c>
      <c r="J16" s="4">
        <v>3</v>
      </c>
      <c r="K16" s="4">
        <v>2</v>
      </c>
      <c r="L16" s="4">
        <f t="shared" si="2"/>
        <v>6</v>
      </c>
      <c r="M16" s="4">
        <v>2</v>
      </c>
      <c r="N16" s="4">
        <v>1</v>
      </c>
      <c r="O16" s="4">
        <f t="shared" si="3"/>
        <v>2</v>
      </c>
      <c r="P16" s="14" t="s">
        <v>13</v>
      </c>
      <c r="Q16" s="14" t="s">
        <v>76</v>
      </c>
      <c r="R16" s="14" t="s">
        <v>57</v>
      </c>
      <c r="S16" s="17" t="s">
        <v>58</v>
      </c>
      <c r="T16" s="14" t="s">
        <v>59</v>
      </c>
      <c r="U16" s="14" t="s">
        <v>60</v>
      </c>
      <c r="V16" s="14" t="s">
        <v>77</v>
      </c>
      <c r="W16" s="19">
        <v>46193</v>
      </c>
      <c r="X16" s="29">
        <v>46295</v>
      </c>
      <c r="Y16" s="15">
        <v>46357</v>
      </c>
      <c r="Z16" s="14" t="s">
        <v>62</v>
      </c>
      <c r="AA16" s="14" t="s">
        <v>63</v>
      </c>
    </row>
    <row r="17" spans="2:27" ht="18.75">
      <c r="B17" s="4" t="s">
        <v>78</v>
      </c>
      <c r="C17" s="14" t="s">
        <v>79</v>
      </c>
      <c r="D17" s="14" t="s">
        <v>80</v>
      </c>
      <c r="E17" s="15">
        <v>46194</v>
      </c>
      <c r="F17" s="17" t="s">
        <v>55</v>
      </c>
      <c r="G17" s="4">
        <v>5</v>
      </c>
      <c r="H17" s="4">
        <v>3</v>
      </c>
      <c r="I17" s="4">
        <f t="shared" si="1"/>
        <v>15</v>
      </c>
      <c r="J17" s="4">
        <v>3</v>
      </c>
      <c r="K17" s="4">
        <v>2</v>
      </c>
      <c r="L17" s="4">
        <f t="shared" si="2"/>
        <v>6</v>
      </c>
      <c r="M17" s="4">
        <v>2</v>
      </c>
      <c r="N17" s="4">
        <v>1</v>
      </c>
      <c r="O17" s="4">
        <f t="shared" si="3"/>
        <v>2</v>
      </c>
      <c r="P17" s="14" t="s">
        <v>13</v>
      </c>
      <c r="Q17" s="14" t="s">
        <v>81</v>
      </c>
      <c r="R17" s="14" t="s">
        <v>57</v>
      </c>
      <c r="S17" s="17" t="s">
        <v>58</v>
      </c>
      <c r="T17" s="17" t="s">
        <v>59</v>
      </c>
      <c r="U17" s="14" t="s">
        <v>60</v>
      </c>
      <c r="V17" s="14" t="s">
        <v>61</v>
      </c>
      <c r="W17" s="19">
        <v>46194</v>
      </c>
      <c r="X17" s="29">
        <v>46325</v>
      </c>
      <c r="Y17" s="15">
        <v>46358</v>
      </c>
      <c r="Z17" s="14" t="s">
        <v>62</v>
      </c>
      <c r="AA17" s="14" t="s">
        <v>63</v>
      </c>
    </row>
    <row r="18" spans="2:27" ht="18.75">
      <c r="B18" s="4" t="s">
        <v>82</v>
      </c>
      <c r="C18" s="14" t="s">
        <v>83</v>
      </c>
      <c r="D18" s="14" t="s">
        <v>84</v>
      </c>
      <c r="E18" s="15">
        <v>46195</v>
      </c>
      <c r="F18" s="14" t="s">
        <v>85</v>
      </c>
      <c r="G18" s="4">
        <v>5</v>
      </c>
      <c r="H18" s="4">
        <v>4</v>
      </c>
      <c r="I18" s="4">
        <f t="shared" si="1"/>
        <v>20</v>
      </c>
      <c r="J18" s="4">
        <v>3</v>
      </c>
      <c r="K18" s="4">
        <v>2</v>
      </c>
      <c r="L18" s="4">
        <f t="shared" si="2"/>
        <v>6</v>
      </c>
      <c r="M18" s="4">
        <v>2</v>
      </c>
      <c r="N18" s="4">
        <v>1</v>
      </c>
      <c r="O18" s="4">
        <f t="shared" si="3"/>
        <v>2</v>
      </c>
      <c r="P18" s="14" t="s">
        <v>13</v>
      </c>
      <c r="Q18" s="14" t="s">
        <v>86</v>
      </c>
      <c r="R18" s="14" t="s">
        <v>57</v>
      </c>
      <c r="S18" s="17" t="s">
        <v>58</v>
      </c>
      <c r="T18" s="14" t="s">
        <v>87</v>
      </c>
      <c r="U18" s="14" t="s">
        <v>60</v>
      </c>
      <c r="V18" s="14" t="s">
        <v>77</v>
      </c>
      <c r="W18" s="19">
        <v>46195</v>
      </c>
      <c r="X18" s="29">
        <v>46295</v>
      </c>
      <c r="Y18" s="15">
        <v>46359</v>
      </c>
      <c r="Z18" s="14" t="s">
        <v>62</v>
      </c>
      <c r="AA18" s="14" t="s">
        <v>63</v>
      </c>
    </row>
    <row r="19" spans="2:27" ht="18.75">
      <c r="B19" s="4" t="s">
        <v>88</v>
      </c>
      <c r="C19" s="14" t="s">
        <v>89</v>
      </c>
      <c r="D19" s="14" t="s">
        <v>90</v>
      </c>
      <c r="E19" s="15">
        <v>46196</v>
      </c>
      <c r="F19" s="14" t="s">
        <v>85</v>
      </c>
      <c r="G19" s="4">
        <v>5</v>
      </c>
      <c r="H19" s="4">
        <v>3</v>
      </c>
      <c r="I19" s="4">
        <f t="shared" si="1"/>
        <v>15</v>
      </c>
      <c r="J19" s="4">
        <v>3</v>
      </c>
      <c r="K19" s="4">
        <v>2</v>
      </c>
      <c r="L19" s="4">
        <f t="shared" si="2"/>
        <v>6</v>
      </c>
      <c r="M19" s="4">
        <v>2</v>
      </c>
      <c r="N19" s="4">
        <v>1</v>
      </c>
      <c r="O19" s="4">
        <f t="shared" si="3"/>
        <v>2</v>
      </c>
      <c r="P19" s="14" t="s">
        <v>13</v>
      </c>
      <c r="Q19" s="14" t="s">
        <v>91</v>
      </c>
      <c r="R19" s="14" t="s">
        <v>57</v>
      </c>
      <c r="S19" s="17" t="s">
        <v>58</v>
      </c>
      <c r="T19" s="17" t="s">
        <v>87</v>
      </c>
      <c r="U19" s="14" t="s">
        <v>60</v>
      </c>
      <c r="V19" s="14" t="s">
        <v>61</v>
      </c>
      <c r="W19" s="19">
        <v>46196</v>
      </c>
      <c r="X19" s="29">
        <v>46325</v>
      </c>
      <c r="Y19" s="15">
        <v>46360</v>
      </c>
      <c r="Z19" s="14" t="s">
        <v>62</v>
      </c>
      <c r="AA19" s="14" t="s">
        <v>63</v>
      </c>
    </row>
    <row r="20" spans="2:27" ht="21">
      <c r="B20" s="4" t="s">
        <v>92</v>
      </c>
      <c r="C20" s="14" t="s">
        <v>93</v>
      </c>
      <c r="D20" s="14" t="s">
        <v>94</v>
      </c>
      <c r="E20" s="15">
        <v>46197</v>
      </c>
      <c r="F20" s="14" t="s">
        <v>85</v>
      </c>
      <c r="G20" s="4">
        <v>4</v>
      </c>
      <c r="H20" s="4">
        <v>3</v>
      </c>
      <c r="I20" s="4">
        <f t="shared" si="1"/>
        <v>12</v>
      </c>
      <c r="J20" s="4">
        <v>2</v>
      </c>
      <c r="K20" s="4">
        <v>2</v>
      </c>
      <c r="L20" s="4">
        <f t="shared" si="2"/>
        <v>4</v>
      </c>
      <c r="M20" s="4">
        <v>1</v>
      </c>
      <c r="N20" s="4">
        <v>1</v>
      </c>
      <c r="O20" s="4">
        <f t="shared" si="3"/>
        <v>1</v>
      </c>
      <c r="P20" s="14" t="s">
        <v>13</v>
      </c>
      <c r="Q20" s="14" t="s">
        <v>95</v>
      </c>
      <c r="R20" s="14" t="s">
        <v>57</v>
      </c>
      <c r="S20" s="17" t="s">
        <v>58</v>
      </c>
      <c r="T20" s="17" t="s">
        <v>87</v>
      </c>
      <c r="U20" s="14" t="s">
        <v>60</v>
      </c>
      <c r="V20" s="21" t="s">
        <v>72</v>
      </c>
      <c r="W20" s="19">
        <v>46197</v>
      </c>
      <c r="X20" s="29">
        <v>46356</v>
      </c>
      <c r="Y20" s="15">
        <v>46361</v>
      </c>
      <c r="Z20" s="14" t="s">
        <v>62</v>
      </c>
      <c r="AA20" s="14" t="s">
        <v>63</v>
      </c>
    </row>
    <row r="21" spans="2:27" ht="18.75">
      <c r="B21" s="4" t="s">
        <v>96</v>
      </c>
      <c r="C21" s="14" t="s">
        <v>97</v>
      </c>
      <c r="D21" s="14" t="s">
        <v>98</v>
      </c>
      <c r="E21" s="15">
        <v>46198</v>
      </c>
      <c r="F21" s="17" t="s">
        <v>99</v>
      </c>
      <c r="G21" s="4">
        <v>5</v>
      </c>
      <c r="H21" s="4">
        <v>4</v>
      </c>
      <c r="I21" s="4">
        <f t="shared" si="1"/>
        <v>20</v>
      </c>
      <c r="J21" s="4">
        <v>3</v>
      </c>
      <c r="K21" s="4">
        <v>2</v>
      </c>
      <c r="L21" s="4">
        <f t="shared" si="2"/>
        <v>6</v>
      </c>
      <c r="M21" s="4">
        <v>2</v>
      </c>
      <c r="N21" s="4">
        <v>1</v>
      </c>
      <c r="O21" s="4">
        <f t="shared" si="3"/>
        <v>2</v>
      </c>
      <c r="P21" s="14" t="s">
        <v>13</v>
      </c>
      <c r="Q21" s="14" t="s">
        <v>100</v>
      </c>
      <c r="R21" s="14" t="s">
        <v>57</v>
      </c>
      <c r="S21" s="17" t="s">
        <v>58</v>
      </c>
      <c r="T21" s="17" t="s">
        <v>87</v>
      </c>
      <c r="U21" s="14" t="s">
        <v>60</v>
      </c>
      <c r="V21" s="14" t="s">
        <v>77</v>
      </c>
      <c r="W21" s="19">
        <v>46198</v>
      </c>
      <c r="X21" s="29">
        <v>46295</v>
      </c>
      <c r="Y21" s="15">
        <v>46362</v>
      </c>
      <c r="Z21" s="14" t="s">
        <v>62</v>
      </c>
      <c r="AA21" s="14" t="s">
        <v>63</v>
      </c>
    </row>
    <row r="22" spans="2:27" ht="21">
      <c r="B22" s="4" t="s">
        <v>101</v>
      </c>
      <c r="C22" s="14" t="s">
        <v>102</v>
      </c>
      <c r="D22" s="14" t="s">
        <v>103</v>
      </c>
      <c r="E22" s="15">
        <v>46199</v>
      </c>
      <c r="F22" s="17" t="s">
        <v>104</v>
      </c>
      <c r="G22" s="4">
        <v>3</v>
      </c>
      <c r="H22" s="4">
        <v>3</v>
      </c>
      <c r="I22" s="4">
        <f t="shared" si="1"/>
        <v>9</v>
      </c>
      <c r="J22" s="4">
        <v>2</v>
      </c>
      <c r="K22" s="4">
        <v>2</v>
      </c>
      <c r="L22" s="4">
        <f t="shared" si="2"/>
        <v>4</v>
      </c>
      <c r="M22" s="4">
        <v>1</v>
      </c>
      <c r="N22" s="4">
        <v>1</v>
      </c>
      <c r="O22" s="4">
        <f t="shared" si="3"/>
        <v>1</v>
      </c>
      <c r="P22" s="17" t="s">
        <v>13</v>
      </c>
      <c r="Q22" s="14" t="s">
        <v>105</v>
      </c>
      <c r="R22" s="14" t="s">
        <v>57</v>
      </c>
      <c r="S22" s="17" t="s">
        <v>58</v>
      </c>
      <c r="T22" s="17" t="s">
        <v>87</v>
      </c>
      <c r="U22" s="14" t="s">
        <v>60</v>
      </c>
      <c r="V22" s="21" t="s">
        <v>72</v>
      </c>
      <c r="W22" s="19">
        <v>46199</v>
      </c>
      <c r="X22" s="29">
        <v>46356</v>
      </c>
      <c r="Y22" s="15">
        <v>46363</v>
      </c>
      <c r="Z22" s="14" t="s">
        <v>62</v>
      </c>
      <c r="AA22" s="14" t="s">
        <v>63</v>
      </c>
    </row>
    <row r="23" spans="2:27" ht="18.75">
      <c r="B23" s="4" t="s">
        <v>106</v>
      </c>
      <c r="C23" s="14" t="s">
        <v>107</v>
      </c>
      <c r="D23" s="14" t="s">
        <v>108</v>
      </c>
      <c r="E23" s="15">
        <v>46200</v>
      </c>
      <c r="F23" s="17" t="s">
        <v>104</v>
      </c>
      <c r="G23" s="4">
        <v>5</v>
      </c>
      <c r="H23" s="4">
        <v>4</v>
      </c>
      <c r="I23" s="4">
        <f t="shared" si="1"/>
        <v>20</v>
      </c>
      <c r="J23" s="4">
        <v>3</v>
      </c>
      <c r="K23" s="4">
        <v>2</v>
      </c>
      <c r="L23" s="4">
        <f t="shared" si="2"/>
        <v>6</v>
      </c>
      <c r="M23" s="4">
        <v>2</v>
      </c>
      <c r="N23" s="4">
        <v>1</v>
      </c>
      <c r="O23" s="4">
        <f t="shared" si="3"/>
        <v>2</v>
      </c>
      <c r="P23" s="17" t="s">
        <v>19</v>
      </c>
      <c r="Q23" s="14" t="s">
        <v>109</v>
      </c>
      <c r="R23" s="14" t="s">
        <v>57</v>
      </c>
      <c r="S23" s="17" t="s">
        <v>58</v>
      </c>
      <c r="T23" s="14" t="s">
        <v>110</v>
      </c>
      <c r="U23" s="14" t="s">
        <v>60</v>
      </c>
      <c r="V23" s="14" t="s">
        <v>77</v>
      </c>
      <c r="W23" s="19">
        <v>46200</v>
      </c>
      <c r="X23" s="29">
        <v>46295</v>
      </c>
      <c r="Y23" s="15">
        <v>46364</v>
      </c>
      <c r="Z23" s="14" t="s">
        <v>62</v>
      </c>
      <c r="AA23" s="14" t="s">
        <v>63</v>
      </c>
    </row>
    <row r="24" spans="2:27" ht="21">
      <c r="B24" s="4" t="s">
        <v>111</v>
      </c>
      <c r="C24" s="14" t="s">
        <v>112</v>
      </c>
      <c r="D24" s="14" t="s">
        <v>113</v>
      </c>
      <c r="E24" s="15">
        <v>46201</v>
      </c>
      <c r="F24" s="17" t="s">
        <v>104</v>
      </c>
      <c r="G24" s="4">
        <v>3</v>
      </c>
      <c r="H24" s="4">
        <v>3</v>
      </c>
      <c r="I24" s="4">
        <f t="shared" si="1"/>
        <v>9</v>
      </c>
      <c r="J24" s="4">
        <v>2</v>
      </c>
      <c r="K24" s="4">
        <v>2</v>
      </c>
      <c r="L24" s="4">
        <v>4</v>
      </c>
      <c r="M24" s="4">
        <v>1</v>
      </c>
      <c r="N24" s="4">
        <v>1</v>
      </c>
      <c r="O24" s="4">
        <f t="shared" si="3"/>
        <v>1</v>
      </c>
      <c r="P24" s="17" t="s">
        <v>13</v>
      </c>
      <c r="Q24" s="14" t="s">
        <v>114</v>
      </c>
      <c r="R24" s="14" t="s">
        <v>57</v>
      </c>
      <c r="S24" s="17" t="s">
        <v>58</v>
      </c>
      <c r="T24" s="14" t="s">
        <v>110</v>
      </c>
      <c r="U24" s="14" t="s">
        <v>60</v>
      </c>
      <c r="V24" s="20" t="s">
        <v>72</v>
      </c>
      <c r="W24" s="19">
        <v>46201</v>
      </c>
      <c r="X24" s="29">
        <v>46356</v>
      </c>
      <c r="Y24" s="15">
        <v>46365</v>
      </c>
      <c r="Z24" s="14" t="s">
        <v>62</v>
      </c>
      <c r="AA24" s="14" t="s">
        <v>63</v>
      </c>
    </row>
    <row r="25" spans="2:27" ht="21">
      <c r="B25" s="4" t="s">
        <v>115</v>
      </c>
      <c r="C25" s="14" t="s">
        <v>116</v>
      </c>
      <c r="D25" s="14" t="s">
        <v>117</v>
      </c>
      <c r="E25" s="15">
        <v>46202</v>
      </c>
      <c r="F25" s="14" t="s">
        <v>104</v>
      </c>
      <c r="G25" s="4">
        <v>4</v>
      </c>
      <c r="H25" s="4">
        <v>3</v>
      </c>
      <c r="I25" s="4">
        <f t="shared" si="1"/>
        <v>12</v>
      </c>
      <c r="J25" s="4">
        <v>2</v>
      </c>
      <c r="K25" s="4">
        <v>2</v>
      </c>
      <c r="L25" s="4">
        <f t="shared" si="2"/>
        <v>4</v>
      </c>
      <c r="M25" s="4">
        <v>1</v>
      </c>
      <c r="N25" s="4">
        <v>1</v>
      </c>
      <c r="O25" s="4">
        <f t="shared" si="3"/>
        <v>1</v>
      </c>
      <c r="P25" s="17" t="s">
        <v>13</v>
      </c>
      <c r="Q25" s="14" t="s">
        <v>118</v>
      </c>
      <c r="R25" s="14" t="s">
        <v>57</v>
      </c>
      <c r="S25" s="17" t="s">
        <v>58</v>
      </c>
      <c r="T25" s="14" t="s">
        <v>110</v>
      </c>
      <c r="U25" s="14" t="s">
        <v>60</v>
      </c>
      <c r="V25" s="20" t="s">
        <v>72</v>
      </c>
      <c r="W25" s="19">
        <v>46202</v>
      </c>
      <c r="X25" s="29">
        <v>46356</v>
      </c>
      <c r="Y25" s="15">
        <v>46366</v>
      </c>
      <c r="Z25" s="14" t="s">
        <v>62</v>
      </c>
      <c r="AA25" s="14" t="s">
        <v>63</v>
      </c>
    </row>
    <row r="26" spans="2:27" ht="21">
      <c r="B26" s="4" t="s">
        <v>119</v>
      </c>
      <c r="C26" s="14" t="s">
        <v>120</v>
      </c>
      <c r="D26" s="14" t="s">
        <v>121</v>
      </c>
      <c r="E26" s="15">
        <v>46203</v>
      </c>
      <c r="F26" s="14" t="s">
        <v>104</v>
      </c>
      <c r="G26" s="4">
        <v>4</v>
      </c>
      <c r="H26" s="4">
        <v>2</v>
      </c>
      <c r="I26" s="4">
        <f t="shared" si="1"/>
        <v>8</v>
      </c>
      <c r="J26" s="4">
        <v>2</v>
      </c>
      <c r="K26" s="4">
        <v>1</v>
      </c>
      <c r="L26" s="4">
        <f t="shared" si="2"/>
        <v>2</v>
      </c>
      <c r="M26" s="4">
        <v>1</v>
      </c>
      <c r="N26" s="4">
        <v>1</v>
      </c>
      <c r="O26" s="4">
        <f t="shared" si="3"/>
        <v>1</v>
      </c>
      <c r="P26" s="17" t="s">
        <v>19</v>
      </c>
      <c r="Q26" s="14" t="s">
        <v>122</v>
      </c>
      <c r="R26" s="14" t="s">
        <v>57</v>
      </c>
      <c r="S26" s="17" t="s">
        <v>58</v>
      </c>
      <c r="T26" s="14" t="s">
        <v>110</v>
      </c>
      <c r="U26" s="14" t="s">
        <v>60</v>
      </c>
      <c r="V26" s="20" t="s">
        <v>72</v>
      </c>
      <c r="W26" s="19">
        <v>46203</v>
      </c>
      <c r="X26" s="29">
        <v>46356</v>
      </c>
      <c r="Y26" s="15">
        <v>46367</v>
      </c>
      <c r="Z26" s="14" t="s">
        <v>62</v>
      </c>
      <c r="AA26" s="14" t="s">
        <v>63</v>
      </c>
    </row>
    <row r="27" spans="2:27" ht="21">
      <c r="B27" s="4" t="s">
        <v>123</v>
      </c>
      <c r="C27" s="14" t="s">
        <v>124</v>
      </c>
      <c r="D27" s="14" t="s">
        <v>125</v>
      </c>
      <c r="E27" s="15">
        <v>46204</v>
      </c>
      <c r="F27" s="14" t="s">
        <v>104</v>
      </c>
      <c r="G27" s="4">
        <v>4</v>
      </c>
      <c r="H27" s="4">
        <v>4</v>
      </c>
      <c r="I27" s="4">
        <f t="shared" ref="I27:I46" si="4">G27*H27</f>
        <v>16</v>
      </c>
      <c r="J27" s="4">
        <v>3</v>
      </c>
      <c r="K27" s="4">
        <v>2</v>
      </c>
      <c r="L27" s="4">
        <f t="shared" ref="L27:L46" si="5">J27*K27</f>
        <v>6</v>
      </c>
      <c r="M27" s="4">
        <v>2</v>
      </c>
      <c r="N27" s="4">
        <v>1</v>
      </c>
      <c r="O27" s="4">
        <f t="shared" ref="O27:O46" si="6">M27*N27</f>
        <v>2</v>
      </c>
      <c r="P27" s="17" t="s">
        <v>13</v>
      </c>
      <c r="Q27" s="14" t="s">
        <v>126</v>
      </c>
      <c r="R27" s="14" t="s">
        <v>57</v>
      </c>
      <c r="S27" s="17" t="s">
        <v>58</v>
      </c>
      <c r="T27" s="14" t="s">
        <v>110</v>
      </c>
      <c r="U27" s="14" t="s">
        <v>60</v>
      </c>
      <c r="V27" s="20" t="s">
        <v>61</v>
      </c>
      <c r="W27" s="19">
        <v>46204</v>
      </c>
      <c r="X27" s="29">
        <v>46325</v>
      </c>
      <c r="Y27" s="15">
        <v>46368</v>
      </c>
      <c r="Z27" s="14" t="s">
        <v>62</v>
      </c>
      <c r="AA27" s="14" t="s">
        <v>63</v>
      </c>
    </row>
    <row r="28" spans="2:27" ht="18.75">
      <c r="B28" s="4" t="s">
        <v>127</v>
      </c>
      <c r="C28" s="14" t="s">
        <v>128</v>
      </c>
      <c r="D28" s="14" t="s">
        <v>129</v>
      </c>
      <c r="E28" s="15">
        <v>46205</v>
      </c>
      <c r="F28" s="17" t="s">
        <v>130</v>
      </c>
      <c r="G28" s="4">
        <v>5</v>
      </c>
      <c r="H28" s="4">
        <v>4</v>
      </c>
      <c r="I28" s="4">
        <f t="shared" si="4"/>
        <v>20</v>
      </c>
      <c r="J28" s="4">
        <v>3</v>
      </c>
      <c r="K28" s="4">
        <v>2</v>
      </c>
      <c r="L28" s="4">
        <f t="shared" si="5"/>
        <v>6</v>
      </c>
      <c r="M28" s="4">
        <v>2</v>
      </c>
      <c r="N28" s="4">
        <v>1</v>
      </c>
      <c r="O28" s="4">
        <f t="shared" si="6"/>
        <v>2</v>
      </c>
      <c r="P28" s="17" t="s">
        <v>13</v>
      </c>
      <c r="Q28" s="14" t="s">
        <v>131</v>
      </c>
      <c r="R28" s="14" t="s">
        <v>57</v>
      </c>
      <c r="S28" s="17" t="s">
        <v>58</v>
      </c>
      <c r="T28" s="14" t="s">
        <v>132</v>
      </c>
      <c r="U28" s="14" t="s">
        <v>60</v>
      </c>
      <c r="V28" s="14" t="s">
        <v>77</v>
      </c>
      <c r="W28" s="19">
        <v>46205</v>
      </c>
      <c r="X28" s="29">
        <v>46295</v>
      </c>
      <c r="Y28" s="15">
        <v>46369</v>
      </c>
      <c r="Z28" s="14" t="s">
        <v>62</v>
      </c>
      <c r="AA28" s="14" t="s">
        <v>63</v>
      </c>
    </row>
    <row r="29" spans="2:27" ht="21">
      <c r="B29" s="4" t="s">
        <v>133</v>
      </c>
      <c r="C29" s="14" t="s">
        <v>134</v>
      </c>
      <c r="D29" s="14" t="s">
        <v>135</v>
      </c>
      <c r="E29" s="15">
        <v>46206</v>
      </c>
      <c r="F29" s="17" t="s">
        <v>130</v>
      </c>
      <c r="G29" s="4">
        <v>4</v>
      </c>
      <c r="H29" s="4">
        <v>4</v>
      </c>
      <c r="I29" s="4">
        <f t="shared" si="4"/>
        <v>16</v>
      </c>
      <c r="J29" s="4">
        <v>3</v>
      </c>
      <c r="K29" s="4">
        <v>2</v>
      </c>
      <c r="L29" s="4">
        <f t="shared" si="5"/>
        <v>6</v>
      </c>
      <c r="M29" s="4">
        <v>2</v>
      </c>
      <c r="N29" s="4">
        <v>1</v>
      </c>
      <c r="O29" s="4">
        <f t="shared" si="6"/>
        <v>2</v>
      </c>
      <c r="P29" s="17" t="s">
        <v>13</v>
      </c>
      <c r="Q29" s="14" t="s">
        <v>136</v>
      </c>
      <c r="R29" s="14" t="s">
        <v>57</v>
      </c>
      <c r="S29" s="17" t="s">
        <v>58</v>
      </c>
      <c r="T29" s="14" t="s">
        <v>132</v>
      </c>
      <c r="U29" s="14" t="s">
        <v>60</v>
      </c>
      <c r="V29" s="20" t="s">
        <v>61</v>
      </c>
      <c r="W29" s="19">
        <v>46206</v>
      </c>
      <c r="X29" s="29">
        <v>46325</v>
      </c>
      <c r="Y29" s="15">
        <v>46370</v>
      </c>
      <c r="Z29" s="14" t="s">
        <v>62</v>
      </c>
      <c r="AA29" s="14" t="s">
        <v>63</v>
      </c>
    </row>
    <row r="30" spans="2:27" ht="21">
      <c r="B30" s="4" t="s">
        <v>137</v>
      </c>
      <c r="C30" s="14" t="s">
        <v>138</v>
      </c>
      <c r="D30" s="14" t="s">
        <v>139</v>
      </c>
      <c r="E30" s="15">
        <v>46207</v>
      </c>
      <c r="F30" s="17" t="s">
        <v>130</v>
      </c>
      <c r="G30" s="4">
        <v>4</v>
      </c>
      <c r="H30" s="4">
        <v>3</v>
      </c>
      <c r="I30" s="4">
        <f t="shared" si="4"/>
        <v>12</v>
      </c>
      <c r="J30" s="4">
        <v>2</v>
      </c>
      <c r="K30" s="4">
        <v>2</v>
      </c>
      <c r="L30" s="4">
        <f t="shared" si="5"/>
        <v>4</v>
      </c>
      <c r="M30" s="4">
        <v>1</v>
      </c>
      <c r="N30" s="4">
        <v>1</v>
      </c>
      <c r="O30" s="4">
        <f t="shared" si="6"/>
        <v>1</v>
      </c>
      <c r="P30" s="17" t="s">
        <v>13</v>
      </c>
      <c r="Q30" s="14" t="s">
        <v>140</v>
      </c>
      <c r="R30" s="14" t="s">
        <v>57</v>
      </c>
      <c r="S30" s="17" t="s">
        <v>58</v>
      </c>
      <c r="T30" s="14" t="s">
        <v>132</v>
      </c>
      <c r="U30" s="14" t="s">
        <v>60</v>
      </c>
      <c r="V30" s="20" t="s">
        <v>72</v>
      </c>
      <c r="W30" s="19">
        <v>46207</v>
      </c>
      <c r="X30" s="29">
        <v>46356</v>
      </c>
      <c r="Y30" s="15">
        <v>46371</v>
      </c>
      <c r="Z30" s="14" t="s">
        <v>62</v>
      </c>
      <c r="AA30" s="14" t="s">
        <v>63</v>
      </c>
    </row>
    <row r="31" spans="2:27" ht="21">
      <c r="B31" s="4" t="s">
        <v>141</v>
      </c>
      <c r="C31" s="14" t="s">
        <v>142</v>
      </c>
      <c r="D31" s="14" t="s">
        <v>143</v>
      </c>
      <c r="E31" s="15">
        <v>46208</v>
      </c>
      <c r="F31" s="14" t="s">
        <v>130</v>
      </c>
      <c r="G31" s="4">
        <v>4</v>
      </c>
      <c r="H31" s="4">
        <v>4</v>
      </c>
      <c r="I31" s="4">
        <f t="shared" si="4"/>
        <v>16</v>
      </c>
      <c r="J31" s="4">
        <v>3</v>
      </c>
      <c r="K31" s="4">
        <v>2</v>
      </c>
      <c r="L31" s="4">
        <f t="shared" si="5"/>
        <v>6</v>
      </c>
      <c r="M31" s="4">
        <v>2</v>
      </c>
      <c r="N31" s="4">
        <v>1</v>
      </c>
      <c r="O31" s="4">
        <f t="shared" si="6"/>
        <v>2</v>
      </c>
      <c r="P31" s="17" t="s">
        <v>13</v>
      </c>
      <c r="Q31" s="14" t="s">
        <v>144</v>
      </c>
      <c r="R31" s="14" t="s">
        <v>57</v>
      </c>
      <c r="S31" s="17" t="s">
        <v>58</v>
      </c>
      <c r="T31" s="14" t="s">
        <v>132</v>
      </c>
      <c r="U31" s="14" t="s">
        <v>60</v>
      </c>
      <c r="V31" s="20" t="s">
        <v>61</v>
      </c>
      <c r="W31" s="19">
        <v>46208</v>
      </c>
      <c r="X31" s="29">
        <v>46325</v>
      </c>
      <c r="Y31" s="15">
        <v>46372</v>
      </c>
      <c r="Z31" s="14" t="s">
        <v>62</v>
      </c>
      <c r="AA31" s="14" t="s">
        <v>63</v>
      </c>
    </row>
    <row r="32" spans="2:27" ht="21">
      <c r="B32" s="4" t="s">
        <v>145</v>
      </c>
      <c r="C32" s="14" t="s">
        <v>146</v>
      </c>
      <c r="D32" s="14" t="s">
        <v>147</v>
      </c>
      <c r="E32" s="15">
        <v>46209</v>
      </c>
      <c r="F32" s="14" t="s">
        <v>130</v>
      </c>
      <c r="G32" s="4">
        <v>4</v>
      </c>
      <c r="H32" s="4">
        <v>4</v>
      </c>
      <c r="I32" s="4">
        <f t="shared" si="4"/>
        <v>16</v>
      </c>
      <c r="J32" s="4">
        <v>3</v>
      </c>
      <c r="K32" s="4">
        <v>2</v>
      </c>
      <c r="L32" s="4">
        <v>6</v>
      </c>
      <c r="M32" s="4">
        <v>2</v>
      </c>
      <c r="N32" s="4">
        <v>1</v>
      </c>
      <c r="O32" s="4">
        <f t="shared" si="6"/>
        <v>2</v>
      </c>
      <c r="P32" s="17" t="s">
        <v>13</v>
      </c>
      <c r="Q32" s="14" t="s">
        <v>148</v>
      </c>
      <c r="R32" s="14" t="s">
        <v>57</v>
      </c>
      <c r="S32" s="17" t="s">
        <v>58</v>
      </c>
      <c r="T32" s="14" t="s">
        <v>132</v>
      </c>
      <c r="U32" s="14" t="s">
        <v>60</v>
      </c>
      <c r="V32" s="20" t="s">
        <v>61</v>
      </c>
      <c r="W32" s="19">
        <v>46209</v>
      </c>
      <c r="X32" s="29">
        <v>46325</v>
      </c>
      <c r="Y32" s="15">
        <v>46373</v>
      </c>
      <c r="Z32" s="14" t="s">
        <v>62</v>
      </c>
      <c r="AA32" s="14" t="s">
        <v>63</v>
      </c>
    </row>
    <row r="33" spans="2:27" ht="21">
      <c r="B33" s="4" t="s">
        <v>149</v>
      </c>
      <c r="C33" s="14" t="s">
        <v>150</v>
      </c>
      <c r="D33" s="14" t="s">
        <v>151</v>
      </c>
      <c r="E33" s="15">
        <v>46210</v>
      </c>
      <c r="F33" s="17" t="s">
        <v>152</v>
      </c>
      <c r="G33" s="4">
        <v>4</v>
      </c>
      <c r="H33" s="4">
        <v>4</v>
      </c>
      <c r="I33" s="4">
        <f t="shared" si="4"/>
        <v>16</v>
      </c>
      <c r="J33" s="4">
        <v>3</v>
      </c>
      <c r="K33" s="4">
        <v>2</v>
      </c>
      <c r="L33" s="4">
        <f t="shared" si="5"/>
        <v>6</v>
      </c>
      <c r="M33" s="4">
        <v>2</v>
      </c>
      <c r="N33" s="4">
        <v>1</v>
      </c>
      <c r="O33" s="4">
        <f t="shared" si="6"/>
        <v>2</v>
      </c>
      <c r="P33" s="17" t="s">
        <v>13</v>
      </c>
      <c r="Q33" s="14" t="s">
        <v>153</v>
      </c>
      <c r="R33" s="14" t="s">
        <v>57</v>
      </c>
      <c r="S33" s="17" t="s">
        <v>58</v>
      </c>
      <c r="T33" s="22" t="s">
        <v>154</v>
      </c>
      <c r="U33" s="14" t="s">
        <v>60</v>
      </c>
      <c r="V33" s="20" t="s">
        <v>61</v>
      </c>
      <c r="W33" s="19">
        <v>46210</v>
      </c>
      <c r="X33" s="29">
        <v>46325</v>
      </c>
      <c r="Y33" s="15">
        <v>46374</v>
      </c>
      <c r="Z33" s="14" t="s">
        <v>62</v>
      </c>
      <c r="AA33" s="14" t="s">
        <v>63</v>
      </c>
    </row>
    <row r="34" spans="2:27" ht="21">
      <c r="B34" s="4" t="s">
        <v>155</v>
      </c>
      <c r="C34" s="16" t="s">
        <v>156</v>
      </c>
      <c r="D34" s="14" t="s">
        <v>157</v>
      </c>
      <c r="E34" s="15">
        <v>46211</v>
      </c>
      <c r="F34" s="14" t="s">
        <v>152</v>
      </c>
      <c r="G34" s="4">
        <v>4</v>
      </c>
      <c r="H34" s="4">
        <v>3</v>
      </c>
      <c r="I34" s="4">
        <f t="shared" si="4"/>
        <v>12</v>
      </c>
      <c r="J34" s="4">
        <v>2</v>
      </c>
      <c r="K34" s="4">
        <v>2</v>
      </c>
      <c r="L34" s="4">
        <f t="shared" si="5"/>
        <v>4</v>
      </c>
      <c r="M34" s="4">
        <v>1</v>
      </c>
      <c r="N34" s="4">
        <v>1</v>
      </c>
      <c r="O34" s="4">
        <f t="shared" si="6"/>
        <v>1</v>
      </c>
      <c r="P34" s="17" t="s">
        <v>13</v>
      </c>
      <c r="Q34" s="14" t="s">
        <v>158</v>
      </c>
      <c r="R34" s="14" t="s">
        <v>57</v>
      </c>
      <c r="S34" s="17" t="s">
        <v>58</v>
      </c>
      <c r="T34" s="14" t="s">
        <v>154</v>
      </c>
      <c r="U34" s="14" t="s">
        <v>60</v>
      </c>
      <c r="V34" s="20" t="s">
        <v>72</v>
      </c>
      <c r="W34" s="19">
        <v>46211</v>
      </c>
      <c r="X34" s="29">
        <v>46356</v>
      </c>
      <c r="Y34" s="15">
        <v>46375</v>
      </c>
      <c r="Z34" s="14" t="s">
        <v>62</v>
      </c>
      <c r="AA34" s="14" t="s">
        <v>63</v>
      </c>
    </row>
    <row r="35" spans="2:27" ht="20.25">
      <c r="B35" s="4" t="s">
        <v>159</v>
      </c>
      <c r="C35" s="16" t="s">
        <v>160</v>
      </c>
      <c r="D35" s="14" t="s">
        <v>161</v>
      </c>
      <c r="E35" s="15">
        <v>46212</v>
      </c>
      <c r="F35" s="14" t="s">
        <v>162</v>
      </c>
      <c r="G35" s="4">
        <v>3</v>
      </c>
      <c r="H35" s="4">
        <v>3</v>
      </c>
      <c r="I35" s="4">
        <f t="shared" si="4"/>
        <v>9</v>
      </c>
      <c r="J35" s="4">
        <v>2</v>
      </c>
      <c r="K35" s="4">
        <v>2</v>
      </c>
      <c r="L35" s="4">
        <f t="shared" si="5"/>
        <v>4</v>
      </c>
      <c r="M35" s="4">
        <v>1</v>
      </c>
      <c r="N35" s="4">
        <v>1</v>
      </c>
      <c r="O35" s="4">
        <f t="shared" si="6"/>
        <v>1</v>
      </c>
      <c r="P35" s="17" t="s">
        <v>13</v>
      </c>
      <c r="Q35" s="14" t="s">
        <v>163</v>
      </c>
      <c r="R35" s="14" t="s">
        <v>57</v>
      </c>
      <c r="S35" s="17" t="s">
        <v>58</v>
      </c>
      <c r="T35" s="14" t="s">
        <v>154</v>
      </c>
      <c r="U35" s="14" t="s">
        <v>60</v>
      </c>
      <c r="V35" s="28" t="s">
        <v>72</v>
      </c>
      <c r="W35" s="19">
        <v>46212</v>
      </c>
      <c r="X35" s="29">
        <v>46356</v>
      </c>
      <c r="Y35" s="15">
        <v>46376</v>
      </c>
      <c r="Z35" s="14" t="s">
        <v>62</v>
      </c>
      <c r="AA35" s="14" t="s">
        <v>63</v>
      </c>
    </row>
    <row r="36" spans="2:27" ht="21">
      <c r="B36" s="4" t="s">
        <v>164</v>
      </c>
      <c r="C36" s="16" t="s">
        <v>165</v>
      </c>
      <c r="D36" s="14" t="s">
        <v>166</v>
      </c>
      <c r="E36" s="15">
        <v>46213</v>
      </c>
      <c r="F36" s="14" t="s">
        <v>152</v>
      </c>
      <c r="G36" s="4">
        <v>5</v>
      </c>
      <c r="H36" s="4">
        <v>3</v>
      </c>
      <c r="I36" s="4">
        <f t="shared" si="4"/>
        <v>15</v>
      </c>
      <c r="J36" s="4">
        <v>3</v>
      </c>
      <c r="K36" s="4">
        <v>2</v>
      </c>
      <c r="L36" s="4">
        <f t="shared" si="5"/>
        <v>6</v>
      </c>
      <c r="M36" s="4">
        <v>2</v>
      </c>
      <c r="N36" s="4">
        <v>1</v>
      </c>
      <c r="O36" s="4">
        <f t="shared" si="6"/>
        <v>2</v>
      </c>
      <c r="P36" s="17" t="s">
        <v>13</v>
      </c>
      <c r="Q36" s="14" t="s">
        <v>167</v>
      </c>
      <c r="R36" s="14" t="s">
        <v>57</v>
      </c>
      <c r="S36" s="17" t="s">
        <v>58</v>
      </c>
      <c r="T36" s="14" t="s">
        <v>154</v>
      </c>
      <c r="U36" s="14" t="s">
        <v>60</v>
      </c>
      <c r="V36" s="21" t="s">
        <v>61</v>
      </c>
      <c r="W36" s="19">
        <v>46213</v>
      </c>
      <c r="X36" s="29">
        <v>46325</v>
      </c>
      <c r="Y36" s="15">
        <v>46377</v>
      </c>
      <c r="Z36" s="14" t="s">
        <v>62</v>
      </c>
      <c r="AA36" s="14" t="s">
        <v>63</v>
      </c>
    </row>
    <row r="37" spans="2:27" ht="21">
      <c r="B37" s="4" t="s">
        <v>168</v>
      </c>
      <c r="C37" s="16" t="s">
        <v>169</v>
      </c>
      <c r="D37" s="14" t="s">
        <v>170</v>
      </c>
      <c r="E37" s="15">
        <v>46214</v>
      </c>
      <c r="F37" s="14" t="s">
        <v>152</v>
      </c>
      <c r="G37" s="4">
        <v>5</v>
      </c>
      <c r="H37" s="4">
        <v>3</v>
      </c>
      <c r="I37" s="4">
        <f t="shared" si="4"/>
        <v>15</v>
      </c>
      <c r="J37" s="4">
        <v>3</v>
      </c>
      <c r="K37" s="4">
        <v>2</v>
      </c>
      <c r="L37" s="4">
        <f t="shared" si="5"/>
        <v>6</v>
      </c>
      <c r="M37" s="4">
        <v>2</v>
      </c>
      <c r="N37" s="4">
        <v>1</v>
      </c>
      <c r="O37" s="4">
        <f t="shared" si="6"/>
        <v>2</v>
      </c>
      <c r="P37" s="17" t="s">
        <v>13</v>
      </c>
      <c r="Q37" s="14" t="s">
        <v>171</v>
      </c>
      <c r="R37" s="14" t="s">
        <v>57</v>
      </c>
      <c r="S37" s="17" t="s">
        <v>58</v>
      </c>
      <c r="T37" s="14" t="s">
        <v>154</v>
      </c>
      <c r="U37" s="14" t="s">
        <v>60</v>
      </c>
      <c r="V37" s="20" t="s">
        <v>61</v>
      </c>
      <c r="W37" s="19">
        <v>46214</v>
      </c>
      <c r="X37" s="29">
        <v>46325</v>
      </c>
      <c r="Y37" s="15">
        <v>46378</v>
      </c>
      <c r="Z37" s="14" t="s">
        <v>62</v>
      </c>
      <c r="AA37" s="14" t="s">
        <v>63</v>
      </c>
    </row>
    <row r="38" spans="2:27" ht="21">
      <c r="B38" s="4" t="s">
        <v>172</v>
      </c>
      <c r="C38" s="14" t="s">
        <v>173</v>
      </c>
      <c r="D38" s="14" t="s">
        <v>174</v>
      </c>
      <c r="E38" s="15">
        <v>46215</v>
      </c>
      <c r="F38" s="17" t="s">
        <v>175</v>
      </c>
      <c r="G38" s="4">
        <v>4</v>
      </c>
      <c r="H38" s="4">
        <v>3</v>
      </c>
      <c r="I38" s="4">
        <f t="shared" si="4"/>
        <v>12</v>
      </c>
      <c r="J38" s="4">
        <v>2</v>
      </c>
      <c r="K38" s="4">
        <v>2</v>
      </c>
      <c r="L38" s="4">
        <f t="shared" si="5"/>
        <v>4</v>
      </c>
      <c r="M38" s="4">
        <v>1</v>
      </c>
      <c r="N38" s="4">
        <v>1</v>
      </c>
      <c r="O38" s="4">
        <f t="shared" si="6"/>
        <v>1</v>
      </c>
      <c r="P38" s="17" t="s">
        <v>13</v>
      </c>
      <c r="Q38" s="14" t="s">
        <v>176</v>
      </c>
      <c r="R38" s="14" t="s">
        <v>57</v>
      </c>
      <c r="S38" s="17" t="s">
        <v>58</v>
      </c>
      <c r="T38" s="14" t="s">
        <v>177</v>
      </c>
      <c r="U38" s="14" t="s">
        <v>60</v>
      </c>
      <c r="V38" s="20" t="s">
        <v>72</v>
      </c>
      <c r="W38" s="19">
        <v>46215</v>
      </c>
      <c r="X38" s="29">
        <v>46356</v>
      </c>
      <c r="Y38" s="15">
        <v>46379</v>
      </c>
      <c r="Z38" s="14" t="s">
        <v>62</v>
      </c>
      <c r="AA38" s="14" t="s">
        <v>63</v>
      </c>
    </row>
    <row r="39" spans="2:27" ht="20.25">
      <c r="B39" s="4" t="s">
        <v>178</v>
      </c>
      <c r="C39" s="16" t="s">
        <v>179</v>
      </c>
      <c r="D39" s="14" t="s">
        <v>180</v>
      </c>
      <c r="E39" s="15">
        <v>46216</v>
      </c>
      <c r="F39" s="14" t="s">
        <v>175</v>
      </c>
      <c r="G39" s="4">
        <v>5</v>
      </c>
      <c r="H39" s="4">
        <v>3</v>
      </c>
      <c r="I39" s="4">
        <f t="shared" si="4"/>
        <v>15</v>
      </c>
      <c r="J39" s="4">
        <v>3</v>
      </c>
      <c r="K39" s="4">
        <v>2</v>
      </c>
      <c r="L39" s="4">
        <f t="shared" si="5"/>
        <v>6</v>
      </c>
      <c r="M39" s="4">
        <v>2</v>
      </c>
      <c r="N39" s="4">
        <v>1</v>
      </c>
      <c r="O39" s="4">
        <f t="shared" si="6"/>
        <v>2</v>
      </c>
      <c r="P39" s="17" t="s">
        <v>13</v>
      </c>
      <c r="Q39" s="14" t="s">
        <v>181</v>
      </c>
      <c r="R39" s="14" t="s">
        <v>57</v>
      </c>
      <c r="S39" s="17" t="s">
        <v>58</v>
      </c>
      <c r="T39" s="14" t="s">
        <v>177</v>
      </c>
      <c r="U39" s="14" t="s">
        <v>60</v>
      </c>
      <c r="V39" s="28" t="s">
        <v>61</v>
      </c>
      <c r="W39" s="19">
        <v>46216</v>
      </c>
      <c r="X39" s="29">
        <v>46325</v>
      </c>
      <c r="Y39" s="15">
        <v>46380</v>
      </c>
      <c r="Z39" s="14" t="s">
        <v>62</v>
      </c>
      <c r="AA39" s="14" t="s">
        <v>63</v>
      </c>
    </row>
    <row r="40" spans="2:27" ht="21">
      <c r="B40" s="4" t="s">
        <v>182</v>
      </c>
      <c r="C40" s="16" t="s">
        <v>183</v>
      </c>
      <c r="D40" s="14" t="s">
        <v>184</v>
      </c>
      <c r="E40" s="15">
        <v>46217</v>
      </c>
      <c r="F40" s="14" t="s">
        <v>175</v>
      </c>
      <c r="G40" s="4">
        <v>3</v>
      </c>
      <c r="H40" s="4">
        <v>3</v>
      </c>
      <c r="I40" s="4">
        <f t="shared" si="4"/>
        <v>9</v>
      </c>
      <c r="J40" s="4">
        <v>2</v>
      </c>
      <c r="K40" s="4">
        <v>2</v>
      </c>
      <c r="L40" s="4">
        <f t="shared" si="5"/>
        <v>4</v>
      </c>
      <c r="M40" s="4">
        <v>1</v>
      </c>
      <c r="N40" s="4">
        <v>1</v>
      </c>
      <c r="O40" s="4">
        <f t="shared" si="6"/>
        <v>1</v>
      </c>
      <c r="P40" s="17" t="s">
        <v>13</v>
      </c>
      <c r="Q40" s="14" t="s">
        <v>185</v>
      </c>
      <c r="R40" s="14" t="s">
        <v>57</v>
      </c>
      <c r="S40" s="17" t="s">
        <v>58</v>
      </c>
      <c r="T40" s="14" t="s">
        <v>177</v>
      </c>
      <c r="U40" s="14" t="s">
        <v>60</v>
      </c>
      <c r="V40" s="20" t="s">
        <v>72</v>
      </c>
      <c r="W40" s="19">
        <v>46217</v>
      </c>
      <c r="X40" s="29">
        <v>46356</v>
      </c>
      <c r="Y40" s="15">
        <v>46381</v>
      </c>
      <c r="Z40" s="14" t="s">
        <v>62</v>
      </c>
      <c r="AA40" s="14" t="s">
        <v>63</v>
      </c>
    </row>
    <row r="41" spans="2:27" ht="21">
      <c r="B41" s="4" t="s">
        <v>186</v>
      </c>
      <c r="C41" s="16" t="s">
        <v>187</v>
      </c>
      <c r="D41" s="14" t="s">
        <v>188</v>
      </c>
      <c r="E41" s="15">
        <v>46218</v>
      </c>
      <c r="F41" s="14" t="s">
        <v>175</v>
      </c>
      <c r="G41" s="4">
        <v>5</v>
      </c>
      <c r="H41" s="4">
        <v>4</v>
      </c>
      <c r="I41" s="4">
        <f t="shared" si="4"/>
        <v>20</v>
      </c>
      <c r="J41" s="4">
        <v>3</v>
      </c>
      <c r="K41" s="4">
        <v>2</v>
      </c>
      <c r="L41" s="4">
        <v>6</v>
      </c>
      <c r="M41" s="4">
        <v>2</v>
      </c>
      <c r="N41" s="4">
        <v>1</v>
      </c>
      <c r="O41" s="4">
        <f t="shared" si="6"/>
        <v>2</v>
      </c>
      <c r="P41" s="17" t="s">
        <v>13</v>
      </c>
      <c r="Q41" s="14" t="s">
        <v>189</v>
      </c>
      <c r="R41" s="14" t="s">
        <v>57</v>
      </c>
      <c r="S41" s="17" t="s">
        <v>58</v>
      </c>
      <c r="T41" s="14" t="s">
        <v>177</v>
      </c>
      <c r="U41" s="14" t="s">
        <v>60</v>
      </c>
      <c r="V41" s="20" t="s">
        <v>77</v>
      </c>
      <c r="W41" s="19">
        <v>46218</v>
      </c>
      <c r="X41" s="29">
        <v>46295</v>
      </c>
      <c r="Y41" s="15">
        <v>46382</v>
      </c>
      <c r="Z41" s="14" t="s">
        <v>62</v>
      </c>
      <c r="AA41" s="14" t="s">
        <v>63</v>
      </c>
    </row>
    <row r="42" spans="2:27" ht="18.75">
      <c r="B42" s="4" t="s">
        <v>190</v>
      </c>
      <c r="C42" s="16" t="s">
        <v>191</v>
      </c>
      <c r="D42" s="14" t="s">
        <v>192</v>
      </c>
      <c r="E42" s="15">
        <v>46219</v>
      </c>
      <c r="F42" s="14" t="s">
        <v>175</v>
      </c>
      <c r="G42" s="4">
        <v>3</v>
      </c>
      <c r="H42" s="4">
        <v>3</v>
      </c>
      <c r="I42" s="4">
        <f t="shared" si="4"/>
        <v>9</v>
      </c>
      <c r="J42" s="4">
        <v>2</v>
      </c>
      <c r="K42" s="4">
        <v>2</v>
      </c>
      <c r="L42" s="4">
        <f t="shared" si="5"/>
        <v>4</v>
      </c>
      <c r="M42" s="4">
        <v>1</v>
      </c>
      <c r="N42" s="4">
        <v>1</v>
      </c>
      <c r="O42" s="4">
        <f t="shared" si="6"/>
        <v>1</v>
      </c>
      <c r="P42" s="17" t="s">
        <v>13</v>
      </c>
      <c r="Q42" s="14" t="s">
        <v>193</v>
      </c>
      <c r="R42" s="14" t="s">
        <v>57</v>
      </c>
      <c r="S42" s="17" t="s">
        <v>58</v>
      </c>
      <c r="T42" s="14" t="s">
        <v>177</v>
      </c>
      <c r="U42" s="14" t="s">
        <v>60</v>
      </c>
      <c r="V42" s="14" t="s">
        <v>72</v>
      </c>
      <c r="W42" s="19">
        <v>46219</v>
      </c>
      <c r="X42" s="29">
        <v>46356</v>
      </c>
      <c r="Y42" s="15">
        <v>46383</v>
      </c>
      <c r="Z42" s="14" t="s">
        <v>62</v>
      </c>
      <c r="AA42" s="14" t="s">
        <v>63</v>
      </c>
    </row>
    <row r="43" spans="2:27" ht="21">
      <c r="B43" s="4" t="s">
        <v>194</v>
      </c>
      <c r="C43" s="16" t="s">
        <v>195</v>
      </c>
      <c r="D43" s="14" t="s">
        <v>196</v>
      </c>
      <c r="E43" s="15">
        <v>46220</v>
      </c>
      <c r="F43" s="14" t="s">
        <v>197</v>
      </c>
      <c r="G43" s="4">
        <v>5</v>
      </c>
      <c r="H43" s="4">
        <v>4</v>
      </c>
      <c r="I43" s="4">
        <f t="shared" si="4"/>
        <v>20</v>
      </c>
      <c r="J43" s="4">
        <v>3</v>
      </c>
      <c r="K43" s="4">
        <v>2</v>
      </c>
      <c r="L43" s="4">
        <f t="shared" si="5"/>
        <v>6</v>
      </c>
      <c r="M43" s="4">
        <v>2</v>
      </c>
      <c r="N43" s="4">
        <v>1</v>
      </c>
      <c r="O43" s="4">
        <f t="shared" si="6"/>
        <v>2</v>
      </c>
      <c r="P43" s="17" t="s">
        <v>13</v>
      </c>
      <c r="Q43" s="14" t="s">
        <v>198</v>
      </c>
      <c r="R43" s="14" t="s">
        <v>57</v>
      </c>
      <c r="S43" s="17" t="s">
        <v>58</v>
      </c>
      <c r="T43" s="14" t="s">
        <v>199</v>
      </c>
      <c r="U43" s="14" t="s">
        <v>60</v>
      </c>
      <c r="V43" s="20" t="s">
        <v>77</v>
      </c>
      <c r="W43" s="19">
        <v>46220</v>
      </c>
      <c r="X43" s="29">
        <v>46295</v>
      </c>
      <c r="Y43" s="15">
        <v>46384</v>
      </c>
      <c r="Z43" s="14" t="s">
        <v>62</v>
      </c>
      <c r="AA43" s="14" t="s">
        <v>63</v>
      </c>
    </row>
    <row r="44" spans="2:27" ht="20.25">
      <c r="B44" s="4" t="s">
        <v>200</v>
      </c>
      <c r="C44" s="16" t="s">
        <v>201</v>
      </c>
      <c r="D44" s="14" t="s">
        <v>202</v>
      </c>
      <c r="E44" s="15">
        <v>46221</v>
      </c>
      <c r="F44" s="14" t="s">
        <v>197</v>
      </c>
      <c r="G44" s="4">
        <v>5</v>
      </c>
      <c r="H44" s="4">
        <v>3</v>
      </c>
      <c r="I44" s="4">
        <f t="shared" si="4"/>
        <v>15</v>
      </c>
      <c r="J44" s="4">
        <v>3</v>
      </c>
      <c r="K44" s="4">
        <v>2</v>
      </c>
      <c r="L44" s="4">
        <f t="shared" si="5"/>
        <v>6</v>
      </c>
      <c r="M44" s="4">
        <v>2</v>
      </c>
      <c r="N44" s="4">
        <v>1</v>
      </c>
      <c r="O44" s="4">
        <f t="shared" si="6"/>
        <v>2</v>
      </c>
      <c r="P44" s="17" t="s">
        <v>13</v>
      </c>
      <c r="Q44" s="14" t="s">
        <v>203</v>
      </c>
      <c r="R44" s="14" t="s">
        <v>57</v>
      </c>
      <c r="S44" s="17" t="s">
        <v>58</v>
      </c>
      <c r="T44" s="14" t="s">
        <v>199</v>
      </c>
      <c r="U44" s="14" t="s">
        <v>60</v>
      </c>
      <c r="V44" s="28" t="s">
        <v>61</v>
      </c>
      <c r="W44" s="19">
        <v>46221</v>
      </c>
      <c r="X44" s="29">
        <v>46325</v>
      </c>
      <c r="Y44" s="15">
        <v>46385</v>
      </c>
      <c r="Z44" s="14" t="s">
        <v>62</v>
      </c>
      <c r="AA44" s="14" t="s">
        <v>63</v>
      </c>
    </row>
    <row r="45" spans="2:27" ht="18.75">
      <c r="B45" s="4" t="s">
        <v>204</v>
      </c>
      <c r="C45" s="16" t="s">
        <v>205</v>
      </c>
      <c r="D45" s="14" t="s">
        <v>206</v>
      </c>
      <c r="E45" s="15">
        <v>46222</v>
      </c>
      <c r="F45" s="14" t="s">
        <v>85</v>
      </c>
      <c r="G45" s="4">
        <v>5</v>
      </c>
      <c r="H45" s="4">
        <v>2</v>
      </c>
      <c r="I45" s="4">
        <f t="shared" si="4"/>
        <v>10</v>
      </c>
      <c r="J45" s="4">
        <v>2</v>
      </c>
      <c r="K45" s="4">
        <v>2</v>
      </c>
      <c r="L45" s="4">
        <f t="shared" si="5"/>
        <v>4</v>
      </c>
      <c r="M45" s="4">
        <v>1</v>
      </c>
      <c r="N45" s="4">
        <v>1</v>
      </c>
      <c r="O45" s="4">
        <f t="shared" si="6"/>
        <v>1</v>
      </c>
      <c r="P45" s="17" t="s">
        <v>19</v>
      </c>
      <c r="Q45" s="14" t="s">
        <v>207</v>
      </c>
      <c r="R45" s="14" t="s">
        <v>57</v>
      </c>
      <c r="S45" s="17" t="s">
        <v>58</v>
      </c>
      <c r="T45" s="14" t="s">
        <v>199</v>
      </c>
      <c r="U45" s="14" t="s">
        <v>60</v>
      </c>
      <c r="V45" s="14" t="s">
        <v>72</v>
      </c>
      <c r="W45" s="19">
        <v>46222</v>
      </c>
      <c r="X45" s="29">
        <v>46356</v>
      </c>
      <c r="Y45" s="15">
        <v>46386</v>
      </c>
      <c r="Z45" s="14" t="s">
        <v>62</v>
      </c>
      <c r="AA45" s="14" t="s">
        <v>63</v>
      </c>
    </row>
    <row r="46" spans="2:27" ht="21">
      <c r="B46" s="4" t="s">
        <v>208</v>
      </c>
      <c r="C46" s="16" t="s">
        <v>209</v>
      </c>
      <c r="D46" s="14" t="s">
        <v>210</v>
      </c>
      <c r="E46" s="15">
        <v>46223</v>
      </c>
      <c r="F46" s="14" t="s">
        <v>85</v>
      </c>
      <c r="G46" s="4">
        <v>4</v>
      </c>
      <c r="H46" s="4">
        <v>3</v>
      </c>
      <c r="I46" s="4">
        <f t="shared" si="4"/>
        <v>12</v>
      </c>
      <c r="J46" s="4">
        <v>2</v>
      </c>
      <c r="K46" s="4">
        <v>2</v>
      </c>
      <c r="L46" s="4">
        <f t="shared" si="5"/>
        <v>4</v>
      </c>
      <c r="M46" s="4">
        <v>1</v>
      </c>
      <c r="N46" s="4">
        <v>1</v>
      </c>
      <c r="O46" s="4">
        <f t="shared" si="6"/>
        <v>1</v>
      </c>
      <c r="P46" s="17" t="s">
        <v>13</v>
      </c>
      <c r="Q46" s="14" t="s">
        <v>211</v>
      </c>
      <c r="R46" s="14" t="s">
        <v>57</v>
      </c>
      <c r="S46" s="17" t="s">
        <v>58</v>
      </c>
      <c r="T46" s="14" t="s">
        <v>199</v>
      </c>
      <c r="U46" s="14" t="s">
        <v>60</v>
      </c>
      <c r="V46" s="20" t="s">
        <v>72</v>
      </c>
      <c r="W46" s="19">
        <v>46223</v>
      </c>
      <c r="X46" s="29">
        <v>46356</v>
      </c>
      <c r="Y46" s="15">
        <v>46387</v>
      </c>
      <c r="Z46" s="14" t="s">
        <v>62</v>
      </c>
      <c r="AA46" s="14" t="s">
        <v>63</v>
      </c>
    </row>
    <row r="47" spans="2:27" ht="16.5">
      <c r="C47" s="16"/>
      <c r="D47" s="14"/>
      <c r="AA47" s="14"/>
    </row>
    <row r="48" spans="2:27" ht="16.5">
      <c r="C48" s="14"/>
      <c r="D48" s="14"/>
      <c r="AA48" s="14"/>
    </row>
    <row r="49" spans="3:27" ht="16.5">
      <c r="C49" s="16"/>
      <c r="D49" s="14"/>
      <c r="AA49" s="14"/>
    </row>
    <row r="50" spans="3:27" ht="16.5">
      <c r="C50" s="16"/>
      <c r="D50" s="14"/>
      <c r="AA50" s="14"/>
    </row>
    <row r="51" spans="3:27" ht="16.5">
      <c r="C51" s="16"/>
      <c r="D51" s="14"/>
      <c r="AA51" s="14"/>
    </row>
    <row r="52" spans="3:27" ht="16.5">
      <c r="C52" s="16"/>
      <c r="D52" s="14"/>
      <c r="AA52" s="14"/>
    </row>
    <row r="53" spans="3:27" ht="16.5">
      <c r="AA53" s="14"/>
    </row>
    <row r="54" spans="3:27" ht="16.5">
      <c r="AA54" s="14"/>
    </row>
    <row r="55" spans="3:27" ht="16.5">
      <c r="AA55" s="14"/>
    </row>
  </sheetData>
  <mergeCells count="5">
    <mergeCell ref="G11:I11"/>
    <mergeCell ref="J11:L11"/>
    <mergeCell ref="M11:O11"/>
    <mergeCell ref="E2:F2"/>
    <mergeCell ref="H2:I2"/>
  </mergeCells>
  <conditionalFormatting sqref="I13:I46">
    <cfRule type="cellIs" dxfId="8" priority="7" operator="greaterThanOrEqual">
      <formula>20</formula>
    </cfRule>
    <cfRule type="cellIs" dxfId="7" priority="8" operator="between">
      <formula>11</formula>
      <formula>19</formula>
    </cfRule>
    <cfRule type="cellIs" dxfId="6" priority="9" operator="between">
      <formula>1</formula>
      <formula>10</formula>
    </cfRule>
  </conditionalFormatting>
  <conditionalFormatting sqref="L13:L46">
    <cfRule type="cellIs" dxfId="5" priority="4" operator="greaterThanOrEqual">
      <formula>20</formula>
    </cfRule>
    <cfRule type="cellIs" dxfId="4" priority="5" operator="between">
      <formula>11</formula>
      <formula>19</formula>
    </cfRule>
    <cfRule type="cellIs" dxfId="3" priority="6" operator="between">
      <formula>1</formula>
      <formula>10</formula>
    </cfRule>
  </conditionalFormatting>
  <conditionalFormatting sqref="O13:O46">
    <cfRule type="cellIs" dxfId="2" priority="1" operator="greaterThanOrEqual">
      <formula>20</formula>
    </cfRule>
    <cfRule type="cellIs" dxfId="1" priority="2" operator="between">
      <formula>11</formula>
      <formula>19</formula>
    </cfRule>
    <cfRule type="cellIs" dxfId="0" priority="3" operator="between">
      <formula>1</formula>
      <formula>10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042C6C-CC8A-45F8-BBDE-1BDB89E0F1FB}">
          <x14:formula1>
            <xm:f>Lookups!$B$3:$B$7</xm:f>
          </x14:formula1>
          <xm:sqref>J13:J46 M13:M46 G13:G46</xm:sqref>
        </x14:dataValidation>
        <x14:dataValidation type="list" allowBlank="1" showInputMessage="1" showErrorMessage="1" xr:uid="{7265FF01-FF7A-434E-BAB5-D8E9AE989BE4}">
          <x14:formula1>
            <xm:f>Lookups!$E$3:$E$7</xm:f>
          </x14:formula1>
          <xm:sqref>K13:K46 N13:N46 H13:H46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5E33-DE70-45C8-917E-A96F96C54556}">
  <dimension ref="B2:I19"/>
  <sheetViews>
    <sheetView workbookViewId="0">
      <selection activeCell="K2" sqref="K2:L7"/>
    </sheetView>
  </sheetViews>
  <sheetFormatPr defaultRowHeight="18.75"/>
  <cols>
    <col min="2" max="2" width="13.296875" customWidth="1"/>
    <col min="3" max="3" width="3.796875" customWidth="1"/>
    <col min="4" max="8" width="5.19921875" customWidth="1"/>
  </cols>
  <sheetData>
    <row r="2" spans="2:9">
      <c r="B2" t="s">
        <v>2</v>
      </c>
      <c r="E2" t="s">
        <v>3</v>
      </c>
      <c r="I2" t="s">
        <v>4</v>
      </c>
    </row>
    <row r="3" spans="2:9">
      <c r="B3">
        <v>1</v>
      </c>
      <c r="C3" t="s">
        <v>7</v>
      </c>
      <c r="E3">
        <v>1</v>
      </c>
      <c r="F3" t="s">
        <v>8</v>
      </c>
      <c r="I3" t="s">
        <v>9</v>
      </c>
    </row>
    <row r="4" spans="2:9">
      <c r="B4">
        <v>2</v>
      </c>
      <c r="C4" t="s">
        <v>11</v>
      </c>
      <c r="E4">
        <v>2</v>
      </c>
      <c r="F4" t="s">
        <v>12</v>
      </c>
      <c r="I4" t="s">
        <v>13</v>
      </c>
    </row>
    <row r="5" spans="2:9">
      <c r="B5">
        <v>3</v>
      </c>
      <c r="C5" t="s">
        <v>14</v>
      </c>
      <c r="E5">
        <v>3</v>
      </c>
      <c r="F5" t="s">
        <v>15</v>
      </c>
      <c r="I5" t="s">
        <v>16</v>
      </c>
    </row>
    <row r="6" spans="2:9">
      <c r="B6">
        <v>4</v>
      </c>
      <c r="C6" t="s">
        <v>17</v>
      </c>
      <c r="E6">
        <v>4</v>
      </c>
      <c r="F6" t="s">
        <v>18</v>
      </c>
      <c r="I6" t="s">
        <v>19</v>
      </c>
    </row>
    <row r="7" spans="2:9">
      <c r="B7">
        <v>5</v>
      </c>
      <c r="C7" t="s">
        <v>20</v>
      </c>
      <c r="E7">
        <v>5</v>
      </c>
      <c r="F7" t="s">
        <v>21</v>
      </c>
      <c r="I7" t="s">
        <v>22</v>
      </c>
    </row>
    <row r="8" spans="2:9">
      <c r="I8" t="s">
        <v>23</v>
      </c>
    </row>
    <row r="14" spans="2:9" ht="14.25" customHeight="1">
      <c r="C14" s="26" t="s">
        <v>212</v>
      </c>
      <c r="D14" s="10">
        <v>5</v>
      </c>
      <c r="E14" s="11">
        <v>10</v>
      </c>
      <c r="F14" s="11">
        <v>15</v>
      </c>
      <c r="G14" s="12">
        <v>20</v>
      </c>
      <c r="H14" s="12">
        <v>25</v>
      </c>
    </row>
    <row r="15" spans="2:9" ht="14.25" customHeight="1">
      <c r="C15" s="26"/>
      <c r="D15" s="10">
        <v>4</v>
      </c>
      <c r="E15" s="10">
        <v>8</v>
      </c>
      <c r="F15" s="11">
        <v>12</v>
      </c>
      <c r="G15" s="11">
        <v>16</v>
      </c>
      <c r="H15" s="12">
        <v>20</v>
      </c>
    </row>
    <row r="16" spans="2:9" ht="14.25" customHeight="1">
      <c r="C16" s="26"/>
      <c r="D16" s="10">
        <v>3</v>
      </c>
      <c r="E16" s="10">
        <v>6</v>
      </c>
      <c r="F16" s="10">
        <v>9</v>
      </c>
      <c r="G16" s="11">
        <v>12</v>
      </c>
      <c r="H16" s="11">
        <v>15</v>
      </c>
    </row>
    <row r="17" spans="3:8" ht="14.25" customHeight="1">
      <c r="C17" s="26"/>
      <c r="D17" s="10">
        <v>2</v>
      </c>
      <c r="E17" s="10">
        <v>4</v>
      </c>
      <c r="F17" s="10">
        <v>6</v>
      </c>
      <c r="G17" s="10">
        <v>8</v>
      </c>
      <c r="H17" s="11">
        <v>10</v>
      </c>
    </row>
    <row r="18" spans="3:8" ht="14.25" customHeight="1">
      <c r="C18" s="26"/>
      <c r="D18" s="10">
        <v>1</v>
      </c>
      <c r="E18" s="10">
        <v>2</v>
      </c>
      <c r="F18" s="10">
        <v>3</v>
      </c>
      <c r="G18" s="10">
        <v>4</v>
      </c>
      <c r="H18" s="10">
        <v>5</v>
      </c>
    </row>
    <row r="19" spans="3:8" ht="14.25" customHeight="1">
      <c r="C19" s="13"/>
      <c r="D19" s="27" t="s">
        <v>213</v>
      </c>
      <c r="E19" s="27"/>
      <c r="F19" s="27"/>
      <c r="G19" s="27"/>
      <c r="H19" s="27"/>
    </row>
  </sheetData>
  <mergeCells count="2">
    <mergeCell ref="C14:C18"/>
    <mergeCell ref="D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Taylor</dc:creator>
  <cp:keywords/>
  <dc:description/>
  <cp:lastModifiedBy/>
  <cp:revision/>
  <dcterms:created xsi:type="dcterms:W3CDTF">2022-02-11T14:51:02Z</dcterms:created>
  <dcterms:modified xsi:type="dcterms:W3CDTF">2026-08-06T23:58:21Z</dcterms:modified>
  <cp:category/>
  <cp:contentStatus/>
</cp:coreProperties>
</file>